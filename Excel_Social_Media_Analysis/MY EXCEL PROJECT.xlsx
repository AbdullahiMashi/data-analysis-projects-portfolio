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dul\OneDrive\Documents\"/>
    </mc:Choice>
  </mc:AlternateContent>
  <xr:revisionPtr revIDLastSave="0" documentId="8_{672073D5-C080-4326-94C5-1135A113D3AD}" xr6:coauthVersionLast="47" xr6:coauthVersionMax="47" xr10:uidLastSave="{00000000-0000-0000-0000-000000000000}"/>
  <bookViews>
    <workbookView xWindow="-110" yWindow="-110" windowWidth="19420" windowHeight="10300" activeTab="2" xr2:uid="{1B14BAEA-56A5-4C94-828A-4B58BB59BEBD}"/>
  </bookViews>
  <sheets>
    <sheet name="SURVEY_DATAA" sheetId="13" r:id="rId1"/>
    <sheet name="Data_Validation" sheetId="2" r:id="rId2"/>
    <sheet name="Goal Seek, FV, PV" sheetId="3" r:id="rId3"/>
    <sheet name="Dashboard_Tables" sheetId="5" r:id="rId4"/>
    <sheet name="Main_Dashboard" sheetId="14" r:id="rId5"/>
    <sheet name="Lookup_Functions" sheetId="6" r:id="rId6"/>
  </sheets>
  <definedNames>
    <definedName name="_xlcn.WorksheetConnection_EXCELPROJECT.xlsxTable4" hidden="1">Table4[]</definedName>
    <definedName name="Slicer_Gender">#N/A</definedName>
    <definedName name="Slicer_Most_Used__Platform">#N/A</definedName>
  </definedNames>
  <calcPr calcId="191029"/>
  <pivotCaches>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M_Survey_Data 1_6d176a53-adc6-49ce-8a3e-97fcb75c7a19" name="SM_Survey_Data 1" connection="Query - SM_Survey_Data"/>
          <x15:modelTable id="Table4" name="SURVEY_DATAA" connection="WorksheetConnection_EXCEL PROJECT.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3" l="1"/>
  <c r="B12" i="3"/>
  <c r="B13" i="6"/>
  <c r="B7" i="6"/>
  <c r="B3" i="6"/>
  <c r="B13" i="13"/>
  <c r="B15" i="13"/>
  <c r="B17" i="1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675499-F8C0-43CD-9D61-2229DC78E233}" name="Query - SM_Survey_Data" description="Connection to the 'SM_Survey_Data' query in the workbook." type="100" refreshedVersion="8" minRefreshableVersion="5">
    <extLst>
      <ext xmlns:x15="http://schemas.microsoft.com/office/spreadsheetml/2010/11/main" uri="{DE250136-89BD-433C-8126-D09CA5730AF9}">
        <x15:connection id="07b9354a-d49c-4cad-bae2-366c830e38b5"/>
      </ext>
    </extLst>
  </connection>
  <connection id="2" xr16:uid="{36DD3528-221B-408A-AE61-65FCA65120DC}" keepAlive="1" name="Query - SM_Survey_Data (2)" description="Connection to the 'SM_Survey_Data (2)' query in the workbook." type="5" refreshedVersion="8" background="1" saveData="1">
    <dbPr connection="Provider=Microsoft.Mashup.OleDb.1;Data Source=$Workbook$;Location=&quot;SM_Survey_Data (2)&quot;;Extended Properties=&quot;&quot;" command="SELECT * FROM [SM_Survey_Data (2)]"/>
  </connection>
  <connection id="3" xr16:uid="{5D372C59-BAA8-41F9-B906-2ACF7B104DE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94D32CCC-2C8F-4CE1-991F-09AD7C6A3E49}" name="WorksheetConnection_EXCEL PROJECT.xlsx!Table4" type="102" refreshedVersion="8" minRefreshableVersion="5">
    <extLst>
      <ext xmlns:x15="http://schemas.microsoft.com/office/spreadsheetml/2010/11/main" uri="{DE250136-89BD-433C-8126-D09CA5730AF9}">
        <x15:connection id="Table4">
          <x15:rangePr sourceName="_xlcn.WorksheetConnection_EXCELPROJECT.xlsxTable4"/>
        </x15:connection>
      </ext>
    </extLst>
  </connection>
</connections>
</file>

<file path=xl/sharedStrings.xml><?xml version="1.0" encoding="utf-8"?>
<sst xmlns="http://schemas.openxmlformats.org/spreadsheetml/2006/main" count="162" uniqueCount="87">
  <si>
    <t>ID</t>
  </si>
  <si>
    <t>CODE</t>
  </si>
  <si>
    <t>DATE</t>
  </si>
  <si>
    <t>WEEKDAY</t>
  </si>
  <si>
    <t>a1234</t>
  </si>
  <si>
    <t>f4256</t>
  </si>
  <si>
    <t>asd1234</t>
  </si>
  <si>
    <t>a2345</t>
  </si>
  <si>
    <t>asd1235</t>
  </si>
  <si>
    <t>A1234</t>
  </si>
  <si>
    <t>E3245</t>
  </si>
  <si>
    <t>a1265</t>
  </si>
  <si>
    <t>j0987</t>
  </si>
  <si>
    <t>awe2345</t>
  </si>
  <si>
    <t>oiu3870</t>
  </si>
  <si>
    <t>Goal Seek</t>
  </si>
  <si>
    <t>Number of Months</t>
  </si>
  <si>
    <t>Monthly Saving</t>
  </si>
  <si>
    <t>Total</t>
  </si>
  <si>
    <t>Future Value(FV)</t>
  </si>
  <si>
    <t>Number of Years</t>
  </si>
  <si>
    <t>Annual Deposit</t>
  </si>
  <si>
    <t>Future Value</t>
  </si>
  <si>
    <t>Present Value(PV)</t>
  </si>
  <si>
    <t>Interest Rate (per year)</t>
  </si>
  <si>
    <t>Present Value</t>
  </si>
  <si>
    <t>Abdullahi</t>
  </si>
  <si>
    <t>Male</t>
  </si>
  <si>
    <t>18–25</t>
  </si>
  <si>
    <t>WhatsApp, TikTok, Snapchat</t>
  </si>
  <si>
    <t>Snapchat</t>
  </si>
  <si>
    <t>News</t>
  </si>
  <si>
    <t>Abdullahi Hassan</t>
  </si>
  <si>
    <t>Entertainment</t>
  </si>
  <si>
    <t>It’s great</t>
  </si>
  <si>
    <t>Alamin Hassan</t>
  </si>
  <si>
    <t>WhatsApp, Instagram, Facebook, TikTok, Snapchat</t>
  </si>
  <si>
    <t>Facebook</t>
  </si>
  <si>
    <t>Communication</t>
  </si>
  <si>
    <t>Sa'adatu Muhammad</t>
  </si>
  <si>
    <t>Female</t>
  </si>
  <si>
    <t>WhatsApp, Instagram, TikTok, X (Twitter), Snapchat</t>
  </si>
  <si>
    <t>TikTok</t>
  </si>
  <si>
    <t xml:space="preserve">Akinwunmi Ibrahim </t>
  </si>
  <si>
    <t>WhatsApp, Instagram, Snapchat, LinkedIn</t>
  </si>
  <si>
    <t>Instagram</t>
  </si>
  <si>
    <t>Nice</t>
  </si>
  <si>
    <t>Bilkisu Bashir</t>
  </si>
  <si>
    <t>TikTok, X (Twitter), Snapchat, LinkedIn</t>
  </si>
  <si>
    <t>It’s been okay, not the best but it’s ikay</t>
  </si>
  <si>
    <t>Habiba</t>
  </si>
  <si>
    <t>I like it</t>
  </si>
  <si>
    <t>ORIH INNOCENT ORIH</t>
  </si>
  <si>
    <t>26–35</t>
  </si>
  <si>
    <t>WhatsApp, Instagram, Facebook, TikTok, X (Twitter), Snapchat, LinkedIn</t>
  </si>
  <si>
    <t>WhatsApp</t>
  </si>
  <si>
    <t>Business</t>
  </si>
  <si>
    <t xml:space="preserve">Fast link to meet audience </t>
  </si>
  <si>
    <t xml:space="preserve">Musa Victor </t>
  </si>
  <si>
    <t>So far so good, am enjoying it.</t>
  </si>
  <si>
    <t>Opeyemi</t>
  </si>
  <si>
    <t>WhatsApp, Instagram, LinkedIn</t>
  </si>
  <si>
    <t>Name</t>
  </si>
  <si>
    <t>Gender</t>
  </si>
  <si>
    <t>Age</t>
  </si>
  <si>
    <t>Regularly used Social Media Platforms</t>
  </si>
  <si>
    <t>Comment</t>
  </si>
  <si>
    <t>Most Used  Platform</t>
  </si>
  <si>
    <t>Hours per Day</t>
  </si>
  <si>
    <t>Purpose</t>
  </si>
  <si>
    <t>Row Labels</t>
  </si>
  <si>
    <t>Grand Total</t>
  </si>
  <si>
    <t>Total_Respondents</t>
  </si>
  <si>
    <t>Number of blank cells</t>
  </si>
  <si>
    <t>Number of Male responses</t>
  </si>
  <si>
    <t>Average hours spent per day</t>
  </si>
  <si>
    <t>Column Labels</t>
  </si>
  <si>
    <t>Age:</t>
  </si>
  <si>
    <t>Index-Match</t>
  </si>
  <si>
    <t>Enter name:</t>
  </si>
  <si>
    <t>Comment:</t>
  </si>
  <si>
    <t>XLOOKUP</t>
  </si>
  <si>
    <t>Purpose:</t>
  </si>
  <si>
    <t>Enter Platform:</t>
  </si>
  <si>
    <t>TikToK</t>
  </si>
  <si>
    <t xml:space="preserve">  </t>
  </si>
  <si>
    <t>Average_Daily_Hours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</si>
</sst>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0.00;[Red]\-&quot;₦&quot;#,##0.00"/>
  </numFmts>
  <fonts count="11">
    <font>
      <sz val="11"/>
      <color theme="1"/>
      <name val="Calibri"/>
      <family val="2"/>
      <scheme val="minor"/>
    </font>
    <font>
      <b/>
      <sz val="11"/>
      <color theme="1"/>
      <name val="Calibri"/>
      <family val="2"/>
      <scheme val="minor"/>
    </font>
    <font>
      <sz val="8"/>
      <name val="Calibri"/>
      <family val="2"/>
      <scheme val="minor"/>
    </font>
    <font>
      <b/>
      <sz val="16"/>
      <color theme="1"/>
      <name val="Calibri"/>
      <family val="2"/>
      <scheme val="minor"/>
    </font>
    <font>
      <sz val="10"/>
      <color rgb="FF000000"/>
      <name val="Calibri"/>
      <family val="2"/>
      <scheme val="minor"/>
    </font>
    <font>
      <sz val="10"/>
      <color theme="1"/>
      <name val="Calibri"/>
      <family val="2"/>
      <scheme val="minor"/>
    </font>
    <font>
      <b/>
      <sz val="12"/>
      <color theme="1"/>
      <name val="Calibri"/>
      <family val="2"/>
      <scheme val="minor"/>
    </font>
    <font>
      <sz val="10"/>
      <color theme="1"/>
      <name val="Arial Unicode MS"/>
    </font>
    <font>
      <sz val="11"/>
      <color rgb="FF1B1C1D"/>
      <name val="Arial"/>
      <family val="2"/>
    </font>
    <font>
      <b/>
      <sz val="11"/>
      <color rgb="FF1B1C1D"/>
      <name val="Arial"/>
      <family val="2"/>
    </font>
    <font>
      <b/>
      <sz val="14"/>
      <color theme="1"/>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3" tint="0.59999389629810485"/>
        <bgColor indexed="64"/>
      </patternFill>
    </fill>
    <fill>
      <patternFill patternType="solid">
        <fgColor rgb="FFFFFFFF"/>
        <bgColor rgb="FFFFFFFF"/>
      </patternFill>
    </fill>
    <fill>
      <patternFill patternType="solid">
        <fgColor rgb="FFF8F9FA"/>
        <bgColor rgb="FFF8F9FA"/>
      </patternFill>
    </fill>
  </fills>
  <borders count="8">
    <border>
      <left/>
      <right/>
      <top/>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FFFFF"/>
      </left>
      <right/>
      <top style="thin">
        <color rgb="FFFFFFFF"/>
      </top>
      <bottom style="thin">
        <color rgb="FFFFFFFF"/>
      </bottom>
      <diagonal/>
    </border>
    <border>
      <left style="thin">
        <color rgb="FFF8F9FA"/>
      </left>
      <right/>
      <top style="thin">
        <color rgb="FFF8F9FA"/>
      </top>
      <bottom style="thin">
        <color rgb="FFF8F9FA"/>
      </bottom>
      <diagonal/>
    </border>
    <border>
      <left style="thin">
        <color rgb="FF5B3F86"/>
      </left>
      <right style="thin">
        <color rgb="FF5B3F86"/>
      </right>
      <top/>
      <bottom style="thin">
        <color rgb="FF442F65"/>
      </bottom>
      <diagonal/>
    </border>
    <border>
      <left style="thin">
        <color rgb="FF5B3F86"/>
      </left>
      <right/>
      <top/>
      <bottom style="thin">
        <color rgb="FF442F65"/>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4" fillId="0" borderId="0"/>
  </cellStyleXfs>
  <cellXfs count="17">
    <xf numFmtId="0" fontId="0" fillId="0" borderId="0" xfId="0"/>
    <xf numFmtId="0" fontId="1" fillId="2" borderId="0" xfId="0" applyFont="1" applyFill="1"/>
    <xf numFmtId="14" fontId="0" fillId="0" borderId="0" xfId="0" applyNumberFormat="1"/>
    <xf numFmtId="8" fontId="0" fillId="0" borderId="0" xfId="0" applyNumberFormat="1"/>
    <xf numFmtId="0" fontId="3" fillId="0" borderId="0" xfId="0" applyFont="1"/>
    <xf numFmtId="0" fontId="0" fillId="0" borderId="0" xfId="0" pivotButton="1"/>
    <xf numFmtId="0" fontId="0" fillId="0" borderId="0" xfId="0" applyAlignment="1">
      <alignment horizontal="left"/>
    </xf>
    <xf numFmtId="0" fontId="5" fillId="4" borderId="1" xfId="1" applyFont="1" applyFill="1" applyBorder="1" applyAlignment="1">
      <alignment vertical="center"/>
    </xf>
    <xf numFmtId="0" fontId="5" fillId="5" borderId="2" xfId="1" applyFont="1" applyFill="1" applyBorder="1" applyAlignment="1">
      <alignment vertical="center"/>
    </xf>
    <xf numFmtId="0" fontId="5" fillId="4" borderId="3" xfId="1" applyFont="1" applyFill="1" applyBorder="1" applyAlignment="1">
      <alignment vertical="center"/>
    </xf>
    <xf numFmtId="0" fontId="5" fillId="5" borderId="4" xfId="1" applyFont="1" applyFill="1" applyBorder="1" applyAlignment="1">
      <alignment vertical="center"/>
    </xf>
    <xf numFmtId="0" fontId="6" fillId="3" borderId="5" xfId="1" applyFont="1" applyFill="1" applyBorder="1" applyAlignment="1">
      <alignment horizontal="left" vertical="center"/>
    </xf>
    <xf numFmtId="0" fontId="6" fillId="3" borderId="6" xfId="1" applyFont="1" applyFill="1" applyBorder="1" applyAlignment="1">
      <alignment horizontal="left" vertical="center"/>
    </xf>
    <xf numFmtId="0" fontId="7" fillId="0" borderId="0" xfId="0" applyFont="1"/>
    <xf numFmtId="0" fontId="9" fillId="0" borderId="7" xfId="0" applyFont="1" applyBorder="1" applyAlignment="1">
      <alignment vertical="center" wrapText="1" readingOrder="1"/>
    </xf>
    <xf numFmtId="0" fontId="8" fillId="0" borderId="7" xfId="0" applyFont="1" applyBorder="1" applyAlignment="1">
      <alignment vertical="center" wrapText="1" readingOrder="1"/>
    </xf>
    <xf numFmtId="0" fontId="10" fillId="0" borderId="0" xfId="0" applyFont="1"/>
  </cellXfs>
  <cellStyles count="2">
    <cellStyle name="Normal" xfId="0" builtinId="0"/>
    <cellStyle name="Normal 2" xfId="1" xr:uid="{7512739B-CDD7-445C-9499-835D99C86D91}"/>
  </cellStyles>
  <dxfs count="17">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border outline="0">
        <right style="thin">
          <color rgb="FF442F65"/>
        </right>
        <top style="thin">
          <color rgb="FF442F65"/>
        </top>
        <bottom style="thin">
          <color rgb="FF442F65"/>
        </bottom>
      </border>
    </dxf>
    <dxf>
      <font>
        <b val="0"/>
        <i val="0"/>
        <strike val="0"/>
        <condense val="0"/>
        <extend val="0"/>
        <outline val="0"/>
        <shadow val="0"/>
        <u val="none"/>
        <vertAlign val="baseline"/>
        <sz val="10"/>
        <color theme="1"/>
        <name val="Calibri"/>
        <family val="2"/>
        <scheme val="minor"/>
      </font>
      <fill>
        <patternFill patternType="solid">
          <fgColor rgb="FFFFFFFF"/>
          <bgColor rgb="FFFFFFFF"/>
        </patternFill>
      </fill>
      <alignment horizontal="general" vertical="center" textRotation="0" wrapText="0" indent="0" justifyLastLine="0" shrinkToFit="0" readingOrder="0"/>
    </dxf>
    <dxf>
      <border outline="0">
        <bottom style="thin">
          <color rgb="FF442F65"/>
        </bottom>
      </border>
    </dxf>
    <dxf>
      <font>
        <b/>
        <i val="0"/>
        <strike val="0"/>
        <condense val="0"/>
        <extend val="0"/>
        <outline val="0"/>
        <shadow val="0"/>
        <u val="none"/>
        <vertAlign val="baseline"/>
        <sz val="12"/>
        <color theme="1"/>
        <name val="Calibri"/>
        <family val="2"/>
        <scheme val="minor"/>
      </font>
      <numFmt numFmtId="0" formatCode="General"/>
      <fill>
        <patternFill patternType="solid">
          <fgColor indexed="64"/>
          <bgColor theme="3" tint="0.59999389629810485"/>
        </patternFill>
      </fill>
      <alignment horizontal="left" vertical="center" textRotation="0" wrapText="0" indent="0" justifyLastLine="0" shrinkToFit="0" readingOrder="0"/>
      <border diagonalUp="0" diagonalDown="0" outline="0">
        <left style="thin">
          <color rgb="FF5B3F86"/>
        </left>
        <right style="thin">
          <color rgb="FF5B3F86"/>
        </right>
        <top/>
        <bottom/>
      </border>
    </dxf>
    <dxf>
      <font>
        <b/>
        <color theme="1"/>
      </font>
      <border>
        <bottom style="thin">
          <color theme="4"/>
        </bottom>
        <vertical/>
        <horizontal/>
      </border>
    </dxf>
    <dxf>
      <font>
        <color theme="1"/>
      </font>
      <border diagonalUp="0" diagonalDown="0">
        <left/>
        <right/>
        <top/>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defaultTableStyle="TableStyleMedium2" defaultPivotStyle="PivotStyleLight16">
    <tableStyle name="Form Responses 1-style" pivot="0" count="4" xr9:uid="{076E0EAC-E1D5-4CAD-8AF3-F9EDEDC75425}">
      <tableStyleElement type="wholeTable" size="0"/>
      <tableStyleElement type="headerRow" dxfId="16"/>
      <tableStyleElement type="firstRowStripe" dxfId="15"/>
      <tableStyleElement type="secondRowStripe" dxfId="14"/>
    </tableStyle>
    <tableStyle name="SlicerStyleLight1 2" pivot="0" table="0" count="10" xr9:uid="{89332E91-3E7E-4BEF-B534-138325FAA32E}">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worksheet" Target="worksheets/sheet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2.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10" Type="http://schemas.openxmlformats.org/officeDocument/2006/relationships/pivotCacheDefinition" Target="pivotCache/pivotCacheDefinition4.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PROJECT.xlsx]Dashboard_Tables!PivotTable15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chemeClr val="tx1"/>
                </a:solidFill>
              </a:rPr>
              <a:t>Purpose to </a:t>
            </a:r>
            <a:r>
              <a:rPr lang="en-US" sz="1200" b="1" i="0" u="none" strike="noStrike" kern="1200" spc="0" baseline="0">
                <a:solidFill>
                  <a:schemeClr val="tx1"/>
                </a:solidFill>
              </a:rPr>
              <a:t>Total Respondents  </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Dashboard_Tables!$B$14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54-454A-8B94-94D665A8B1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54-454A-8B94-94D665A8B1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54-454A-8B94-94D665A8B1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54-454A-8B94-94D665A8B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Dashboard_Tables!$A$15:$A$18</c:f>
              <c:strCache>
                <c:ptCount val="4"/>
                <c:pt idx="0">
                  <c:v>Business</c:v>
                </c:pt>
                <c:pt idx="1">
                  <c:v>Communication</c:v>
                </c:pt>
                <c:pt idx="2">
                  <c:v>Entertainment</c:v>
                </c:pt>
                <c:pt idx="3">
                  <c:v>News</c:v>
                </c:pt>
              </c:strCache>
            </c:strRef>
          </c:cat>
          <c:val>
            <c:numRef>
              <c:f>Dashboard_Tables!$B$15:$B$18</c:f>
              <c:numCache>
                <c:formatCode>General</c:formatCode>
                <c:ptCount val="4"/>
                <c:pt idx="0">
                  <c:v>2</c:v>
                </c:pt>
                <c:pt idx="1">
                  <c:v>2</c:v>
                </c:pt>
                <c:pt idx="2">
                  <c:v>5</c:v>
                </c:pt>
                <c:pt idx="3">
                  <c:v>1</c:v>
                </c:pt>
              </c:numCache>
            </c:numRef>
          </c:val>
          <c:extLst>
            <c:ext xmlns:c16="http://schemas.microsoft.com/office/drawing/2014/chart" uri="{C3380CC4-5D6E-409C-BE32-E72D297353CC}">
              <c16:uniqueId val="{00000008-0557-4161-ADFD-5B11847667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PROJECT.xlsx]Dashboard_Tables!PivotTable13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Gender Count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Dashboard_Tables!$B$1</c:f>
              <c:strCache>
                <c:ptCount val="1"/>
                <c:pt idx="0">
                  <c:v>Total</c:v>
                </c:pt>
              </c:strCache>
            </c:strRef>
          </c:tx>
          <c:spPr>
            <a:solidFill>
              <a:schemeClr val="accent1"/>
            </a:solidFill>
            <a:ln>
              <a:noFill/>
            </a:ln>
            <a:effectLst/>
          </c:spPr>
          <c:invertIfNegative val="0"/>
          <c:cat>
            <c:strRef>
              <c:f>Dashboard_Tables!$A$2:$A$3</c:f>
              <c:strCache>
                <c:ptCount val="2"/>
                <c:pt idx="0">
                  <c:v>Female</c:v>
                </c:pt>
                <c:pt idx="1">
                  <c:v>Male</c:v>
                </c:pt>
              </c:strCache>
            </c:strRef>
          </c:cat>
          <c:val>
            <c:numRef>
              <c:f>Dashboard_Tables!$B$2:$B$3</c:f>
              <c:numCache>
                <c:formatCode>General</c:formatCode>
                <c:ptCount val="2"/>
                <c:pt idx="0">
                  <c:v>3</c:v>
                </c:pt>
                <c:pt idx="1">
                  <c:v>7</c:v>
                </c:pt>
              </c:numCache>
            </c:numRef>
          </c:val>
          <c:extLst>
            <c:ext xmlns:c16="http://schemas.microsoft.com/office/drawing/2014/chart" uri="{C3380CC4-5D6E-409C-BE32-E72D297353CC}">
              <c16:uniqueId val="{00000000-7C77-435E-9E31-4ED134C3B818}"/>
            </c:ext>
          </c:extLst>
        </c:ser>
        <c:dLbls>
          <c:showLegendKey val="0"/>
          <c:showVal val="0"/>
          <c:showCatName val="0"/>
          <c:showSerName val="0"/>
          <c:showPercent val="0"/>
          <c:showBubbleSize val="0"/>
        </c:dLbls>
        <c:gapWidth val="219"/>
        <c:overlap val="-27"/>
        <c:axId val="545242703"/>
        <c:axId val="545250383"/>
      </c:barChart>
      <c:catAx>
        <c:axId val="54524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250383"/>
        <c:crosses val="autoZero"/>
        <c:auto val="1"/>
        <c:lblAlgn val="ctr"/>
        <c:lblOffset val="100"/>
        <c:noMultiLvlLbl val="0"/>
      </c:catAx>
      <c:valAx>
        <c:axId val="54525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24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PROJECT.xlsx]Dashboard_Tables!PivotTable17</c:name>
    <c:fmtId val="5"/>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Dashboard_Tables!$B$26</c:f>
              <c:strCache>
                <c:ptCount val="1"/>
                <c:pt idx="0">
                  <c:v>Total</c:v>
                </c:pt>
              </c:strCache>
            </c:strRef>
          </c:tx>
          <c:spPr>
            <a:solidFill>
              <a:schemeClr val="accent1"/>
            </a:solidFill>
            <a:ln>
              <a:noFill/>
            </a:ln>
            <a:effectLst/>
          </c:spPr>
          <c:invertIfNegative val="0"/>
          <c:cat>
            <c:strRef>
              <c:f>Dashboard_Tables!$A$27:$A$31</c:f>
              <c:strCache>
                <c:ptCount val="5"/>
                <c:pt idx="0">
                  <c:v>Facebook</c:v>
                </c:pt>
                <c:pt idx="1">
                  <c:v>Instagram</c:v>
                </c:pt>
                <c:pt idx="2">
                  <c:v>Snapchat</c:v>
                </c:pt>
                <c:pt idx="3">
                  <c:v>TikTok</c:v>
                </c:pt>
                <c:pt idx="4">
                  <c:v>WhatsApp</c:v>
                </c:pt>
              </c:strCache>
            </c:strRef>
          </c:cat>
          <c:val>
            <c:numRef>
              <c:f>Dashboard_Tables!$B$27:$B$31</c:f>
              <c:numCache>
                <c:formatCode>General</c:formatCode>
                <c:ptCount val="5"/>
                <c:pt idx="0">
                  <c:v>1</c:v>
                </c:pt>
                <c:pt idx="1">
                  <c:v>2</c:v>
                </c:pt>
                <c:pt idx="2">
                  <c:v>2</c:v>
                </c:pt>
                <c:pt idx="3">
                  <c:v>2</c:v>
                </c:pt>
                <c:pt idx="4">
                  <c:v>3</c:v>
                </c:pt>
              </c:numCache>
            </c:numRef>
          </c:val>
          <c:extLst>
            <c:ext xmlns:c16="http://schemas.microsoft.com/office/drawing/2014/chart" uri="{C3380CC4-5D6E-409C-BE32-E72D297353CC}">
              <c16:uniqueId val="{00000000-8BE3-4046-B8F8-CFBACEB42654}"/>
            </c:ext>
          </c:extLst>
        </c:ser>
        <c:dLbls>
          <c:showLegendKey val="0"/>
          <c:showVal val="0"/>
          <c:showCatName val="0"/>
          <c:showSerName val="0"/>
          <c:showPercent val="0"/>
          <c:showBubbleSize val="0"/>
        </c:dLbls>
        <c:gapWidth val="219"/>
        <c:overlap val="-27"/>
        <c:axId val="494118815"/>
        <c:axId val="494115455"/>
      </c:barChart>
      <c:catAx>
        <c:axId val="49411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NG"/>
          </a:p>
        </c:txPr>
        <c:crossAx val="494115455"/>
        <c:crosses val="autoZero"/>
        <c:auto val="1"/>
        <c:lblAlgn val="ctr"/>
        <c:lblOffset val="100"/>
        <c:noMultiLvlLbl val="0"/>
      </c:catAx>
      <c:valAx>
        <c:axId val="49411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NG"/>
          </a:p>
        </c:txPr>
        <c:crossAx val="49411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PROJECT.xlsx]Dashboard_Tables!PivotTable1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Average Daily Hours by 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Dashboard_Tables!$B$45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E9-4132-B4A7-76CA231297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E9-4132-B4A7-76CA231297F8}"/>
              </c:ext>
            </c:extLst>
          </c:dPt>
          <c:cat>
            <c:strRef>
              <c:f>Dashboard_Tables!$A$46:$A$48</c:f>
              <c:strCache>
                <c:ptCount val="2"/>
                <c:pt idx="0">
                  <c:v>18–25</c:v>
                </c:pt>
                <c:pt idx="1">
                  <c:v>26–35</c:v>
                </c:pt>
              </c:strCache>
            </c:strRef>
          </c:cat>
          <c:val>
            <c:numRef>
              <c:f>Dashboard_Tables!$B$46:$B$48</c:f>
              <c:numCache>
                <c:formatCode>General</c:formatCode>
                <c:ptCount val="2"/>
                <c:pt idx="0">
                  <c:v>3.5</c:v>
                </c:pt>
                <c:pt idx="1">
                  <c:v>3.5</c:v>
                </c:pt>
              </c:numCache>
            </c:numRef>
          </c:val>
          <c:extLst>
            <c:ext xmlns:c16="http://schemas.microsoft.com/office/drawing/2014/chart" uri="{C3380CC4-5D6E-409C-BE32-E72D297353CC}">
              <c16:uniqueId val="{00000004-B085-4FE6-8899-BF3D52FC87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PROJECT.xlsx]Dashboard_Tables!PivotTable18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Dashboard_Tables!$B$38:$B$39</c:f>
              <c:strCache>
                <c:ptCount val="1"/>
                <c:pt idx="0">
                  <c:v>Female</c:v>
                </c:pt>
              </c:strCache>
            </c:strRef>
          </c:tx>
          <c:spPr>
            <a:solidFill>
              <a:schemeClr val="accent1"/>
            </a:solidFill>
            <a:ln>
              <a:noFill/>
            </a:ln>
            <a:effectLst/>
          </c:spPr>
          <c:invertIfNegative val="0"/>
          <c:cat>
            <c:strRef>
              <c:f>Dashboard_Tables!$A$40:$A$44</c:f>
              <c:strCache>
                <c:ptCount val="5"/>
                <c:pt idx="0">
                  <c:v>Facebook</c:v>
                </c:pt>
                <c:pt idx="1">
                  <c:v>Instagram</c:v>
                </c:pt>
                <c:pt idx="2">
                  <c:v>Snapchat</c:v>
                </c:pt>
                <c:pt idx="3">
                  <c:v>TikTok</c:v>
                </c:pt>
                <c:pt idx="4">
                  <c:v>WhatsApp</c:v>
                </c:pt>
              </c:strCache>
            </c:strRef>
          </c:cat>
          <c:val>
            <c:numRef>
              <c:f>Dashboard_Tables!$B$40:$B$44</c:f>
              <c:numCache>
                <c:formatCode>General</c:formatCode>
                <c:ptCount val="5"/>
                <c:pt idx="1">
                  <c:v>1</c:v>
                </c:pt>
                <c:pt idx="3">
                  <c:v>2</c:v>
                </c:pt>
              </c:numCache>
            </c:numRef>
          </c:val>
          <c:extLst>
            <c:ext xmlns:c16="http://schemas.microsoft.com/office/drawing/2014/chart" uri="{C3380CC4-5D6E-409C-BE32-E72D297353CC}">
              <c16:uniqueId val="{00000001-1B1A-4A26-92AD-477DF46FEA02}"/>
            </c:ext>
          </c:extLst>
        </c:ser>
        <c:ser>
          <c:idx val="1"/>
          <c:order val="1"/>
          <c:tx>
            <c:strRef>
              <c:f>Dashboard_Tables!$C$38:$C$39</c:f>
              <c:strCache>
                <c:ptCount val="1"/>
                <c:pt idx="0">
                  <c:v>Male</c:v>
                </c:pt>
              </c:strCache>
            </c:strRef>
          </c:tx>
          <c:spPr>
            <a:solidFill>
              <a:schemeClr val="accent2"/>
            </a:solidFill>
            <a:ln>
              <a:noFill/>
            </a:ln>
            <a:effectLst/>
          </c:spPr>
          <c:invertIfNegative val="0"/>
          <c:cat>
            <c:strRef>
              <c:f>Dashboard_Tables!$A$40:$A$44</c:f>
              <c:strCache>
                <c:ptCount val="5"/>
                <c:pt idx="0">
                  <c:v>Facebook</c:v>
                </c:pt>
                <c:pt idx="1">
                  <c:v>Instagram</c:v>
                </c:pt>
                <c:pt idx="2">
                  <c:v>Snapchat</c:v>
                </c:pt>
                <c:pt idx="3">
                  <c:v>TikTok</c:v>
                </c:pt>
                <c:pt idx="4">
                  <c:v>WhatsApp</c:v>
                </c:pt>
              </c:strCache>
            </c:strRef>
          </c:cat>
          <c:val>
            <c:numRef>
              <c:f>Dashboard_Tables!$C$40:$C$44</c:f>
              <c:numCache>
                <c:formatCode>General</c:formatCode>
                <c:ptCount val="5"/>
                <c:pt idx="0">
                  <c:v>1</c:v>
                </c:pt>
                <c:pt idx="1">
                  <c:v>1</c:v>
                </c:pt>
                <c:pt idx="2">
                  <c:v>2</c:v>
                </c:pt>
                <c:pt idx="4">
                  <c:v>3</c:v>
                </c:pt>
              </c:numCache>
            </c:numRef>
          </c:val>
          <c:extLst>
            <c:ext xmlns:c16="http://schemas.microsoft.com/office/drawing/2014/chart" uri="{C3380CC4-5D6E-409C-BE32-E72D297353CC}">
              <c16:uniqueId val="{00000002-1B1A-4A26-92AD-477DF46FEA02}"/>
            </c:ext>
          </c:extLst>
        </c:ser>
        <c:dLbls>
          <c:showLegendKey val="0"/>
          <c:showVal val="0"/>
          <c:showCatName val="0"/>
          <c:showSerName val="0"/>
          <c:showPercent val="0"/>
          <c:showBubbleSize val="0"/>
        </c:dLbls>
        <c:gapWidth val="219"/>
        <c:overlap val="-27"/>
        <c:axId val="1445314655"/>
        <c:axId val="1445315135"/>
      </c:barChart>
      <c:catAx>
        <c:axId val="144531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5315135"/>
        <c:crosses val="autoZero"/>
        <c:auto val="1"/>
        <c:lblAlgn val="ctr"/>
        <c:lblOffset val="100"/>
        <c:noMultiLvlLbl val="0"/>
      </c:catAx>
      <c:valAx>
        <c:axId val="144531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531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PROJECT.xlsx]Dashboard_Tables!PivotTable2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Dashboard_Tables!$B$51:$B$52</c:f>
              <c:strCache>
                <c:ptCount val="1"/>
                <c:pt idx="0">
                  <c:v>Business</c:v>
                </c:pt>
              </c:strCache>
            </c:strRef>
          </c:tx>
          <c:spPr>
            <a:solidFill>
              <a:schemeClr val="accent1"/>
            </a:solidFill>
            <a:ln>
              <a:noFill/>
            </a:ln>
            <a:effectLst/>
          </c:spPr>
          <c:invertIfNegative val="0"/>
          <c:cat>
            <c:strRef>
              <c:f>Dashboard_Tables!$A$53:$A$56</c:f>
              <c:strCache>
                <c:ptCount val="4"/>
                <c:pt idx="0">
                  <c:v>2</c:v>
                </c:pt>
                <c:pt idx="1">
                  <c:v>3</c:v>
                </c:pt>
                <c:pt idx="2">
                  <c:v>4</c:v>
                </c:pt>
                <c:pt idx="3">
                  <c:v>5</c:v>
                </c:pt>
              </c:strCache>
            </c:strRef>
          </c:cat>
          <c:val>
            <c:numRef>
              <c:f>Dashboard_Tables!$B$53:$B$56</c:f>
              <c:numCache>
                <c:formatCode>General</c:formatCode>
                <c:ptCount val="4"/>
                <c:pt idx="1">
                  <c:v>1</c:v>
                </c:pt>
                <c:pt idx="3">
                  <c:v>1</c:v>
                </c:pt>
              </c:numCache>
            </c:numRef>
          </c:val>
          <c:extLst>
            <c:ext xmlns:c16="http://schemas.microsoft.com/office/drawing/2014/chart" uri="{C3380CC4-5D6E-409C-BE32-E72D297353CC}">
              <c16:uniqueId val="{00000005-0D67-4811-B3BE-30234E818FC9}"/>
            </c:ext>
          </c:extLst>
        </c:ser>
        <c:ser>
          <c:idx val="1"/>
          <c:order val="1"/>
          <c:tx>
            <c:strRef>
              <c:f>Dashboard_Tables!$C$51:$C$52</c:f>
              <c:strCache>
                <c:ptCount val="1"/>
                <c:pt idx="0">
                  <c:v>Communication</c:v>
                </c:pt>
              </c:strCache>
            </c:strRef>
          </c:tx>
          <c:spPr>
            <a:solidFill>
              <a:schemeClr val="accent2"/>
            </a:solidFill>
            <a:ln>
              <a:noFill/>
            </a:ln>
            <a:effectLst/>
          </c:spPr>
          <c:invertIfNegative val="0"/>
          <c:cat>
            <c:strRef>
              <c:f>Dashboard_Tables!$A$53:$A$56</c:f>
              <c:strCache>
                <c:ptCount val="4"/>
                <c:pt idx="0">
                  <c:v>2</c:v>
                </c:pt>
                <c:pt idx="1">
                  <c:v>3</c:v>
                </c:pt>
                <c:pt idx="2">
                  <c:v>4</c:v>
                </c:pt>
                <c:pt idx="3">
                  <c:v>5</c:v>
                </c:pt>
              </c:strCache>
            </c:strRef>
          </c:cat>
          <c:val>
            <c:numRef>
              <c:f>Dashboard_Tables!$C$53:$C$56</c:f>
              <c:numCache>
                <c:formatCode>General</c:formatCode>
                <c:ptCount val="4"/>
                <c:pt idx="0">
                  <c:v>1</c:v>
                </c:pt>
                <c:pt idx="2">
                  <c:v>1</c:v>
                </c:pt>
              </c:numCache>
            </c:numRef>
          </c:val>
          <c:extLst>
            <c:ext xmlns:c16="http://schemas.microsoft.com/office/drawing/2014/chart" uri="{C3380CC4-5D6E-409C-BE32-E72D297353CC}">
              <c16:uniqueId val="{00000006-0D67-4811-B3BE-30234E818FC9}"/>
            </c:ext>
          </c:extLst>
        </c:ser>
        <c:ser>
          <c:idx val="2"/>
          <c:order val="2"/>
          <c:tx>
            <c:strRef>
              <c:f>Dashboard_Tables!$D$51:$D$52</c:f>
              <c:strCache>
                <c:ptCount val="1"/>
                <c:pt idx="0">
                  <c:v>Entertainment</c:v>
                </c:pt>
              </c:strCache>
            </c:strRef>
          </c:tx>
          <c:spPr>
            <a:solidFill>
              <a:schemeClr val="accent3"/>
            </a:solidFill>
            <a:ln>
              <a:noFill/>
            </a:ln>
            <a:effectLst/>
          </c:spPr>
          <c:invertIfNegative val="0"/>
          <c:cat>
            <c:strRef>
              <c:f>Dashboard_Tables!$A$53:$A$56</c:f>
              <c:strCache>
                <c:ptCount val="4"/>
                <c:pt idx="0">
                  <c:v>2</c:v>
                </c:pt>
                <c:pt idx="1">
                  <c:v>3</c:v>
                </c:pt>
                <c:pt idx="2">
                  <c:v>4</c:v>
                </c:pt>
                <c:pt idx="3">
                  <c:v>5</c:v>
                </c:pt>
              </c:strCache>
            </c:strRef>
          </c:cat>
          <c:val>
            <c:numRef>
              <c:f>Dashboard_Tables!$D$53:$D$56</c:f>
              <c:numCache>
                <c:formatCode>General</c:formatCode>
                <c:ptCount val="4"/>
                <c:pt idx="0">
                  <c:v>1</c:v>
                </c:pt>
                <c:pt idx="1">
                  <c:v>2</c:v>
                </c:pt>
                <c:pt idx="3">
                  <c:v>2</c:v>
                </c:pt>
              </c:numCache>
            </c:numRef>
          </c:val>
          <c:extLst>
            <c:ext xmlns:c16="http://schemas.microsoft.com/office/drawing/2014/chart" uri="{C3380CC4-5D6E-409C-BE32-E72D297353CC}">
              <c16:uniqueId val="{00000007-0D67-4811-B3BE-30234E818FC9}"/>
            </c:ext>
          </c:extLst>
        </c:ser>
        <c:ser>
          <c:idx val="3"/>
          <c:order val="3"/>
          <c:tx>
            <c:strRef>
              <c:f>Dashboard_Tables!$E$51:$E$52</c:f>
              <c:strCache>
                <c:ptCount val="1"/>
                <c:pt idx="0">
                  <c:v>News</c:v>
                </c:pt>
              </c:strCache>
            </c:strRef>
          </c:tx>
          <c:spPr>
            <a:solidFill>
              <a:schemeClr val="accent4"/>
            </a:solidFill>
            <a:ln>
              <a:noFill/>
            </a:ln>
            <a:effectLst/>
          </c:spPr>
          <c:invertIfNegative val="0"/>
          <c:cat>
            <c:strRef>
              <c:f>Dashboard_Tables!$A$53:$A$56</c:f>
              <c:strCache>
                <c:ptCount val="4"/>
                <c:pt idx="0">
                  <c:v>2</c:v>
                </c:pt>
                <c:pt idx="1">
                  <c:v>3</c:v>
                </c:pt>
                <c:pt idx="2">
                  <c:v>4</c:v>
                </c:pt>
                <c:pt idx="3">
                  <c:v>5</c:v>
                </c:pt>
              </c:strCache>
            </c:strRef>
          </c:cat>
          <c:val>
            <c:numRef>
              <c:f>Dashboard_Tables!$E$53:$E$56</c:f>
              <c:numCache>
                <c:formatCode>General</c:formatCode>
                <c:ptCount val="4"/>
                <c:pt idx="1">
                  <c:v>1</c:v>
                </c:pt>
              </c:numCache>
            </c:numRef>
          </c:val>
          <c:extLst>
            <c:ext xmlns:c16="http://schemas.microsoft.com/office/drawing/2014/chart" uri="{C3380CC4-5D6E-409C-BE32-E72D297353CC}">
              <c16:uniqueId val="{00000008-0D67-4811-B3BE-30234E818FC9}"/>
            </c:ext>
          </c:extLst>
        </c:ser>
        <c:dLbls>
          <c:showLegendKey val="0"/>
          <c:showVal val="0"/>
          <c:showCatName val="0"/>
          <c:showSerName val="0"/>
          <c:showPercent val="0"/>
          <c:showBubbleSize val="0"/>
        </c:dLbls>
        <c:gapWidth val="219"/>
        <c:overlap val="-27"/>
        <c:axId val="1445330975"/>
        <c:axId val="1445320415"/>
      </c:barChart>
      <c:catAx>
        <c:axId val="144533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5320415"/>
        <c:crosses val="autoZero"/>
        <c:auto val="1"/>
        <c:lblAlgn val="ctr"/>
        <c:lblOffset val="100"/>
        <c:noMultiLvlLbl val="0"/>
      </c:catAx>
      <c:valAx>
        <c:axId val="144532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533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251505</xdr:colOff>
      <xdr:row>20</xdr:row>
      <xdr:rowOff>109268</xdr:rowOff>
    </xdr:from>
    <xdr:to>
      <xdr:col>12</xdr:col>
      <xdr:colOff>443504</xdr:colOff>
      <xdr:row>32</xdr:row>
      <xdr:rowOff>59468</xdr:rowOff>
    </xdr:to>
    <xdr:graphicFrame macro="">
      <xdr:nvGraphicFramePr>
        <xdr:cNvPr id="3" name="Chart 2">
          <a:extLst>
            <a:ext uri="{FF2B5EF4-FFF2-40B4-BE49-F238E27FC236}">
              <a16:creationId xmlns:a16="http://schemas.microsoft.com/office/drawing/2014/main" id="{57A78C98-7C9D-400F-BD71-F614AF123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517168</xdr:colOff>
      <xdr:row>36</xdr:row>
      <xdr:rowOff>174968</xdr:rowOff>
    </xdr:from>
    <xdr:to>
      <xdr:col>6</xdr:col>
      <xdr:colOff>100086</xdr:colOff>
      <xdr:row>48</xdr:row>
      <xdr:rowOff>125170</xdr:rowOff>
    </xdr:to>
    <xdr:graphicFrame macro="">
      <xdr:nvGraphicFramePr>
        <xdr:cNvPr id="6" name="Chart 5">
          <a:extLst>
            <a:ext uri="{FF2B5EF4-FFF2-40B4-BE49-F238E27FC236}">
              <a16:creationId xmlns:a16="http://schemas.microsoft.com/office/drawing/2014/main" id="{F8A5EEFE-D911-4DD9-83C5-78D11825F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453571</xdr:colOff>
      <xdr:row>20</xdr:row>
      <xdr:rowOff>94739</xdr:rowOff>
    </xdr:from>
    <xdr:to>
      <xdr:col>6</xdr:col>
      <xdr:colOff>35481</xdr:colOff>
      <xdr:row>32</xdr:row>
      <xdr:rowOff>73996</xdr:rowOff>
    </xdr:to>
    <xdr:graphicFrame macro="">
      <xdr:nvGraphicFramePr>
        <xdr:cNvPr id="9" name="Chart 8">
          <a:extLst>
            <a:ext uri="{FF2B5EF4-FFF2-40B4-BE49-F238E27FC236}">
              <a16:creationId xmlns:a16="http://schemas.microsoft.com/office/drawing/2014/main" id="{88BE40FD-FDF9-4B22-8C32-478FCCB6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84235</xdr:colOff>
      <xdr:row>6</xdr:row>
      <xdr:rowOff>81892</xdr:rowOff>
    </xdr:from>
    <xdr:to>
      <xdr:col>12</xdr:col>
      <xdr:colOff>275226</xdr:colOff>
      <xdr:row>18</xdr:row>
      <xdr:rowOff>32349</xdr:rowOff>
    </xdr:to>
    <xdr:graphicFrame macro="">
      <xdr:nvGraphicFramePr>
        <xdr:cNvPr id="4" name="Chart 3">
          <a:extLst>
            <a:ext uri="{FF2B5EF4-FFF2-40B4-BE49-F238E27FC236}">
              <a16:creationId xmlns:a16="http://schemas.microsoft.com/office/drawing/2014/main" id="{03AA06A7-20C7-4742-9B9E-29089FFF6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58315</xdr:colOff>
      <xdr:row>6</xdr:row>
      <xdr:rowOff>81892</xdr:rowOff>
    </xdr:from>
    <xdr:to>
      <xdr:col>6</xdr:col>
      <xdr:colOff>249307</xdr:colOff>
      <xdr:row>18</xdr:row>
      <xdr:rowOff>32349</xdr:rowOff>
    </xdr:to>
    <xdr:graphicFrame macro="">
      <xdr:nvGraphicFramePr>
        <xdr:cNvPr id="10" name="Chart 9">
          <a:extLst>
            <a:ext uri="{FF2B5EF4-FFF2-40B4-BE49-F238E27FC236}">
              <a16:creationId xmlns:a16="http://schemas.microsoft.com/office/drawing/2014/main" id="{073B540C-A1D6-42F5-B162-EC3A7FE96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36</xdr:row>
      <xdr:rowOff>174840</xdr:rowOff>
    </xdr:from>
    <xdr:to>
      <xdr:col>12</xdr:col>
      <xdr:colOff>190991</xdr:colOff>
      <xdr:row>48</xdr:row>
      <xdr:rowOff>125298</xdr:rowOff>
    </xdr:to>
    <xdr:graphicFrame macro="">
      <xdr:nvGraphicFramePr>
        <xdr:cNvPr id="11" name="Chart 10">
          <a:extLst>
            <a:ext uri="{FF2B5EF4-FFF2-40B4-BE49-F238E27FC236}">
              <a16:creationId xmlns:a16="http://schemas.microsoft.com/office/drawing/2014/main" id="{D02F19D5-0E69-4177-A275-468339347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219009</xdr:colOff>
      <xdr:row>0</xdr:row>
      <xdr:rowOff>69722</xdr:rowOff>
    </xdr:from>
    <xdr:to>
      <xdr:col>6</xdr:col>
      <xdr:colOff>460051</xdr:colOff>
      <xdr:row>4</xdr:row>
      <xdr:rowOff>174950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74A75E02-F344-9B44-7600-6DF932E1CAF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8091" y="69722"/>
              <a:ext cx="3286450" cy="83094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97194</xdr:colOff>
      <xdr:row>0</xdr:row>
      <xdr:rowOff>131275</xdr:rowOff>
    </xdr:from>
    <xdr:to>
      <xdr:col>12</xdr:col>
      <xdr:colOff>338585</xdr:colOff>
      <xdr:row>5</xdr:row>
      <xdr:rowOff>55732</xdr:rowOff>
    </xdr:to>
    <mc:AlternateContent xmlns:mc="http://schemas.openxmlformats.org/markup-compatibility/2006" xmlns:a14="http://schemas.microsoft.com/office/drawing/2010/main">
      <mc:Choice Requires="a14">
        <xdr:graphicFrame macro="">
          <xdr:nvGraphicFramePr>
            <xdr:cNvPr id="13" name="Most Used  Platform">
              <a:extLst>
                <a:ext uri="{FF2B5EF4-FFF2-40B4-BE49-F238E27FC236}">
                  <a16:creationId xmlns:a16="http://schemas.microsoft.com/office/drawing/2014/main" id="{D537DD16-C649-409D-461B-0A75391CE431}"/>
                </a:ext>
              </a:extLst>
            </xdr:cNvPr>
            <xdr:cNvGraphicFramePr/>
          </xdr:nvGraphicFramePr>
          <xdr:xfrm>
            <a:off x="0" y="0"/>
            <a:ext cx="0" cy="0"/>
          </xdr:xfrm>
          <a:graphic>
            <a:graphicData uri="http://schemas.microsoft.com/office/drawing/2010/slicer">
              <sle:slicer xmlns:sle="http://schemas.microsoft.com/office/drawing/2010/slicer" name="Most Used  Platform"/>
            </a:graphicData>
          </a:graphic>
        </xdr:graphicFrame>
      </mc:Choice>
      <mc:Fallback xmlns="">
        <xdr:sp macro="" textlink="">
          <xdr:nvSpPr>
            <xdr:cNvPr id="0" name=""/>
            <xdr:cNvSpPr>
              <a:spLocks noTextEdit="1"/>
            </xdr:cNvSpPr>
          </xdr:nvSpPr>
          <xdr:spPr>
            <a:xfrm>
              <a:off x="4360765" y="131275"/>
              <a:ext cx="3286800" cy="831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440612</xdr:colOff>
      <xdr:row>51</xdr:row>
      <xdr:rowOff>129592</xdr:rowOff>
    </xdr:from>
    <xdr:to>
      <xdr:col>14</xdr:col>
      <xdr:colOff>498928</xdr:colOff>
      <xdr:row>87</xdr:row>
      <xdr:rowOff>38877</xdr:rowOff>
    </xdr:to>
    <xdr:sp macro="" textlink="">
      <xdr:nvSpPr>
        <xdr:cNvPr id="14" name="TextBox 13">
          <a:extLst>
            <a:ext uri="{FF2B5EF4-FFF2-40B4-BE49-F238E27FC236}">
              <a16:creationId xmlns:a16="http://schemas.microsoft.com/office/drawing/2014/main" id="{61480DA5-EAB6-6B5B-8ECB-B69241DE04F3}"/>
            </a:ext>
          </a:extLst>
        </xdr:cNvPr>
        <xdr:cNvSpPr txBox="1"/>
      </xdr:nvSpPr>
      <xdr:spPr>
        <a:xfrm>
          <a:off x="440612" y="9382449"/>
          <a:ext cx="8585459" cy="6440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1200" b="1">
              <a:effectLst/>
              <a:latin typeface="Times New Roman" panose="02020603050405020304" pitchFamily="18" charset="0"/>
              <a:cs typeface="Times New Roman" panose="02020603050405020304" pitchFamily="18" charset="0"/>
            </a:rPr>
            <a:t>Dashboard Insights Report</a:t>
          </a:r>
        </a:p>
        <a:p>
          <a:pPr algn="l" rtl="0"/>
          <a:r>
            <a:rPr lang="en-US" sz="1200">
              <a:effectLst/>
              <a:latin typeface="Times New Roman" panose="02020603050405020304" pitchFamily="18" charset="0"/>
              <a:cs typeface="Times New Roman" panose="02020603050405020304" pitchFamily="18" charset="0"/>
            </a:rPr>
            <a:t>The analysis of the social media survey was performed using Microsoft Excel's Power Pivot Data Model, Pivot Tables, and Pivot Charts, totaling </a:t>
          </a:r>
          <a:r>
            <a:rPr lang="en-US" sz="1200" b="0">
              <a:effectLst/>
              <a:latin typeface="Times New Roman" panose="02020603050405020304" pitchFamily="18" charset="0"/>
              <a:cs typeface="Times New Roman" panose="02020603050405020304" pitchFamily="18" charset="0"/>
            </a:rPr>
            <a:t>10 respondents.</a:t>
          </a:r>
        </a:p>
        <a:p>
          <a:pPr algn="l" rtl="0"/>
          <a:endParaRPr lang="en-US" sz="1200">
            <a:effectLst/>
            <a:latin typeface="Times New Roman" panose="02020603050405020304" pitchFamily="18" charset="0"/>
            <a:cs typeface="Times New Roman" panose="02020603050405020304" pitchFamily="18" charset="0"/>
          </a:endParaRPr>
        </a:p>
        <a:p>
          <a:pPr algn="l" rtl="0"/>
          <a:r>
            <a:rPr lang="en-US" sz="1200" b="1">
              <a:effectLst/>
              <a:latin typeface="Times New Roman" panose="02020603050405020304" pitchFamily="18" charset="0"/>
              <a:cs typeface="Times New Roman" panose="02020603050405020304" pitchFamily="18" charset="0"/>
            </a:rPr>
            <a:t>1. Primary Platform Preference and Gender Skew</a:t>
          </a:r>
        </a:p>
        <a:p>
          <a:pPr algn="l" rtl="0"/>
          <a:r>
            <a:rPr lang="en-US" sz="1200">
              <a:effectLst/>
              <a:latin typeface="Times New Roman" panose="02020603050405020304" pitchFamily="18" charset="0"/>
              <a:cs typeface="Times New Roman" panose="02020603050405020304" pitchFamily="18" charset="0"/>
            </a:rPr>
            <a:t>The most defining trend shown across the dashboard is the clear hierarchy of platform preference.</a:t>
          </a:r>
        </a:p>
        <a:p>
          <a:pPr algn="l" rtl="0"/>
          <a:r>
            <a:rPr lang="en-US" sz="1200" b="1">
              <a:effectLst/>
              <a:latin typeface="Times New Roman" panose="02020603050405020304" pitchFamily="18" charset="0"/>
              <a:cs typeface="Times New Roman" panose="02020603050405020304" pitchFamily="18" charset="0"/>
            </a:rPr>
            <a:t>Platform Dominance (Chart):</a:t>
          </a:r>
          <a:r>
            <a:rPr lang="en-US" sz="1200">
              <a:effectLst/>
              <a:latin typeface="Times New Roman" panose="02020603050405020304" pitchFamily="18" charset="0"/>
              <a:cs typeface="Times New Roman" panose="02020603050405020304" pitchFamily="18" charset="0"/>
            </a:rPr>
            <a:t> The analysis reveals that </a:t>
          </a:r>
          <a:r>
            <a:rPr lang="en-US" sz="1200" b="1">
              <a:effectLst/>
              <a:latin typeface="Times New Roman" panose="02020603050405020304" pitchFamily="18" charset="0"/>
              <a:cs typeface="Times New Roman" panose="02020603050405020304" pitchFamily="18" charset="0"/>
            </a:rPr>
            <a:t>WhatsApp</a:t>
          </a:r>
          <a:r>
            <a:rPr lang="en-US" sz="1200" b="1" baseline="0">
              <a:effectLst/>
              <a:latin typeface="Times New Roman" panose="02020603050405020304" pitchFamily="18" charset="0"/>
              <a:cs typeface="Times New Roman" panose="02020603050405020304" pitchFamily="18" charset="0"/>
            </a:rPr>
            <a:t> </a:t>
          </a:r>
          <a:r>
            <a:rPr lang="en-US" sz="1200">
              <a:effectLst/>
              <a:latin typeface="Times New Roman" panose="02020603050405020304" pitchFamily="18" charset="0"/>
              <a:cs typeface="Times New Roman" panose="02020603050405020304" pitchFamily="18" charset="0"/>
            </a:rPr>
            <a:t>is the dominant platform, with </a:t>
          </a:r>
          <a:r>
            <a:rPr lang="en-US" sz="1200" b="1">
              <a:effectLst/>
              <a:latin typeface="Times New Roman" panose="02020603050405020304" pitchFamily="18" charset="0"/>
              <a:cs typeface="Times New Roman" panose="02020603050405020304" pitchFamily="18" charset="0"/>
            </a:rPr>
            <a:t>3 </a:t>
          </a:r>
          <a:r>
            <a:rPr lang="en-US" sz="1200">
              <a:effectLst/>
              <a:latin typeface="Times New Roman" panose="02020603050405020304" pitchFamily="18" charset="0"/>
              <a:cs typeface="Times New Roman" panose="02020603050405020304" pitchFamily="18" charset="0"/>
            </a:rPr>
            <a:t>of respondents naming it as their most used. This is followed by </a:t>
          </a:r>
          <a:r>
            <a:rPr lang="en-US" sz="1200" b="1">
              <a:effectLst/>
              <a:latin typeface="Times New Roman" panose="02020603050405020304" pitchFamily="18" charset="0"/>
              <a:cs typeface="Times New Roman" panose="02020603050405020304" pitchFamily="18" charset="0"/>
            </a:rPr>
            <a:t>Instagram, Snapchat</a:t>
          </a:r>
          <a:r>
            <a:rPr lang="en-US" sz="1200" b="1" baseline="0">
              <a:effectLst/>
              <a:latin typeface="Times New Roman" panose="02020603050405020304" pitchFamily="18" charset="0"/>
              <a:cs typeface="Times New Roman" panose="02020603050405020304" pitchFamily="18" charset="0"/>
            </a:rPr>
            <a:t> and TikTok</a:t>
          </a:r>
        </a:p>
        <a:p>
          <a:pPr algn="l" rtl="0"/>
          <a:endParaRPr lang="en-US" sz="1200">
            <a:effectLst/>
            <a:latin typeface="Times New Roman" panose="02020603050405020304" pitchFamily="18" charset="0"/>
            <a:cs typeface="Times New Roman" panose="02020603050405020304" pitchFamily="18" charset="0"/>
          </a:endParaRPr>
        </a:p>
        <a:p>
          <a:pPr algn="l" rtl="0"/>
          <a:r>
            <a:rPr lang="en-US" sz="1200" b="1">
              <a:effectLst/>
              <a:latin typeface="Times New Roman" panose="02020603050405020304" pitchFamily="18" charset="0"/>
              <a:cs typeface="Times New Roman" panose="02020603050405020304" pitchFamily="18" charset="0"/>
            </a:rPr>
            <a:t>Gender Skew :</a:t>
          </a:r>
          <a:r>
            <a:rPr lang="en-US" sz="1200">
              <a:effectLst/>
              <a:latin typeface="Times New Roman" panose="02020603050405020304" pitchFamily="18" charset="0"/>
              <a:cs typeface="Times New Roman" panose="02020603050405020304" pitchFamily="18" charset="0"/>
            </a:rPr>
            <a:t> </a:t>
          </a:r>
          <a:r>
            <a:rPr lang="en-US" sz="1200" b="0">
              <a:effectLst/>
              <a:latin typeface="Times New Roman" panose="02020603050405020304" pitchFamily="18" charset="0"/>
              <a:cs typeface="Times New Roman" panose="02020603050405020304" pitchFamily="18" charset="0"/>
            </a:rPr>
            <a:t>The Most Used Platform by Total Respondents and Gender </a:t>
          </a:r>
          <a:r>
            <a:rPr lang="en-US" sz="1200">
              <a:effectLst/>
              <a:latin typeface="Times New Roman" panose="02020603050405020304" pitchFamily="18" charset="0"/>
              <a:cs typeface="Times New Roman" panose="02020603050405020304" pitchFamily="18" charset="0"/>
            </a:rPr>
            <a:t>cross-tabulation table shows a notable difference in preference: </a:t>
          </a:r>
          <a:r>
            <a:rPr lang="en-US" sz="1200" b="1">
              <a:effectLst/>
              <a:latin typeface="Times New Roman" panose="02020603050405020304" pitchFamily="18" charset="0"/>
              <a:cs typeface="Times New Roman" panose="02020603050405020304" pitchFamily="18" charset="0"/>
            </a:rPr>
            <a:t>Male</a:t>
          </a:r>
          <a:r>
            <a:rPr lang="en-US" sz="1200">
              <a:effectLst/>
              <a:latin typeface="Times New Roman" panose="02020603050405020304" pitchFamily="18" charset="0"/>
              <a:cs typeface="Times New Roman" panose="02020603050405020304" pitchFamily="18" charset="0"/>
            </a:rPr>
            <a:t> respondents show a higher overall count for </a:t>
          </a:r>
          <a:r>
            <a:rPr lang="en-US" sz="1200" b="1">
              <a:effectLst/>
              <a:latin typeface="Times New Roman" panose="02020603050405020304" pitchFamily="18" charset="0"/>
              <a:cs typeface="Times New Roman" panose="02020603050405020304" pitchFamily="18" charset="0"/>
            </a:rPr>
            <a:t>WhatsApp </a:t>
          </a:r>
          <a:r>
            <a:rPr lang="en-US" sz="1200" b="0">
              <a:effectLst/>
              <a:latin typeface="Times New Roman" panose="02020603050405020304" pitchFamily="18" charset="0"/>
              <a:cs typeface="Times New Roman" panose="02020603050405020304" pitchFamily="18" charset="0"/>
            </a:rPr>
            <a:t>with</a:t>
          </a:r>
          <a:r>
            <a:rPr lang="en-US" sz="1200" b="1" baseline="0">
              <a:effectLst/>
              <a:latin typeface="Times New Roman" panose="02020603050405020304" pitchFamily="18" charset="0"/>
              <a:cs typeface="Times New Roman" panose="02020603050405020304" pitchFamily="18" charset="0"/>
            </a:rPr>
            <a:t> </a:t>
          </a:r>
          <a:r>
            <a:rPr lang="en-US" sz="1200" b="0" baseline="0">
              <a:effectLst/>
              <a:latin typeface="Times New Roman" panose="02020603050405020304" pitchFamily="18" charset="0"/>
              <a:cs typeface="Times New Roman" panose="02020603050405020304" pitchFamily="18" charset="0"/>
            </a:rPr>
            <a:t>3</a:t>
          </a:r>
          <a:r>
            <a:rPr lang="en-US" sz="1200">
              <a:effectLst/>
              <a:latin typeface="Times New Roman" panose="02020603050405020304" pitchFamily="18" charset="0"/>
              <a:cs typeface="Times New Roman" panose="02020603050405020304" pitchFamily="18" charset="0"/>
            </a:rPr>
            <a:t> counts compared to </a:t>
          </a:r>
          <a:r>
            <a:rPr lang="en-US" sz="1200" b="1">
              <a:effectLst/>
              <a:latin typeface="Times New Roman" panose="02020603050405020304" pitchFamily="18" charset="0"/>
              <a:cs typeface="Times New Roman" panose="02020603050405020304" pitchFamily="18" charset="0"/>
            </a:rPr>
            <a:t>Female</a:t>
          </a:r>
          <a:r>
            <a:rPr lang="en-US" sz="1200" b="1" baseline="0">
              <a:effectLst/>
              <a:latin typeface="Times New Roman" panose="02020603050405020304" pitchFamily="18" charset="0"/>
              <a:cs typeface="Times New Roman" panose="02020603050405020304" pitchFamily="18" charset="0"/>
            </a:rPr>
            <a:t> </a:t>
          </a:r>
          <a:r>
            <a:rPr lang="en-US" sz="1200">
              <a:effectLst/>
              <a:latin typeface="Times New Roman" panose="02020603050405020304" pitchFamily="18" charset="0"/>
              <a:cs typeface="Times New Roman" panose="02020603050405020304" pitchFamily="18" charset="0"/>
            </a:rPr>
            <a:t>respondents, who may show a slightly higher count for </a:t>
          </a:r>
          <a:r>
            <a:rPr lang="en-US" sz="1200" b="1">
              <a:effectLst/>
              <a:latin typeface="Times New Roman" panose="02020603050405020304" pitchFamily="18" charset="0"/>
              <a:cs typeface="Times New Roman" panose="02020603050405020304" pitchFamily="18" charset="0"/>
            </a:rPr>
            <a:t>TikTok.</a:t>
          </a:r>
        </a:p>
        <a:p>
          <a:pPr algn="l" rtl="0"/>
          <a:endParaRPr lang="en-US" sz="1200">
            <a:effectLst/>
            <a:latin typeface="Times New Roman" panose="02020603050405020304" pitchFamily="18" charset="0"/>
            <a:cs typeface="Times New Roman" panose="02020603050405020304" pitchFamily="18" charset="0"/>
          </a:endParaRPr>
        </a:p>
        <a:p>
          <a:pPr algn="l" rtl="0"/>
          <a:r>
            <a:rPr lang="en-US" sz="1200" b="1">
              <a:effectLst/>
              <a:latin typeface="Times New Roman" panose="02020603050405020304" pitchFamily="18" charset="0"/>
              <a:cs typeface="Times New Roman" panose="02020603050405020304" pitchFamily="18" charset="0"/>
            </a:rPr>
            <a:t>2. Usage Intensity and Purpose Analysis</a:t>
          </a:r>
        </a:p>
        <a:p>
          <a:pPr algn="l"/>
          <a:r>
            <a:rPr lang="en-US" sz="1200" b="1">
              <a:latin typeface="Times New Roman" panose="02020603050405020304" pitchFamily="18" charset="0"/>
              <a:cs typeface="Times New Roman" panose="02020603050405020304" pitchFamily="18" charset="0"/>
            </a:rPr>
            <a:t>Average Usage (Chart):</a:t>
          </a:r>
          <a:r>
            <a:rPr lang="en-US" sz="1200">
              <a:latin typeface="Times New Roman" panose="02020603050405020304" pitchFamily="18" charset="0"/>
              <a:cs typeface="Times New Roman" panose="02020603050405020304" pitchFamily="18" charset="0"/>
            </a:rPr>
            <a:t> The </a:t>
          </a:r>
          <a:r>
            <a:rPr lang="en-US" sz="1200" b="1">
              <a:latin typeface="Times New Roman" panose="02020603050405020304" pitchFamily="18" charset="0"/>
              <a:cs typeface="Times New Roman" panose="02020603050405020304" pitchFamily="18" charset="0"/>
            </a:rPr>
            <a:t>Average Daily Hours by Age</a:t>
          </a:r>
          <a:r>
            <a:rPr lang="en-US" sz="1200">
              <a:latin typeface="Times New Roman" panose="02020603050405020304" pitchFamily="18" charset="0"/>
              <a:cs typeface="Times New Roman" panose="02020603050405020304" pitchFamily="18" charset="0"/>
            </a:rPr>
            <a:t> chart indicates a surprising finding: usage intensity is highly consistent across demographics. Both the </a:t>
          </a:r>
          <a:r>
            <a:rPr lang="en-US" sz="1200" b="0">
              <a:latin typeface="Times New Roman" panose="02020603050405020304" pitchFamily="18" charset="0"/>
              <a:cs typeface="Times New Roman" panose="02020603050405020304" pitchFamily="18" charset="0"/>
            </a:rPr>
            <a:t>age</a:t>
          </a:r>
          <a:r>
            <a:rPr lang="en-US" sz="1200" b="0" baseline="0">
              <a:latin typeface="Times New Roman" panose="02020603050405020304" pitchFamily="18" charset="0"/>
              <a:cs typeface="Times New Roman" panose="02020603050405020304" pitchFamily="18" charset="0"/>
            </a:rPr>
            <a:t> groups </a:t>
          </a:r>
          <a:r>
            <a:rPr lang="en-US" sz="1200">
              <a:latin typeface="Times New Roman" panose="02020603050405020304" pitchFamily="18" charset="0"/>
              <a:cs typeface="Times New Roman" panose="02020603050405020304" pitchFamily="18" charset="0"/>
            </a:rPr>
            <a:t>report nearly identical average usage, both around </a:t>
          </a:r>
          <a:r>
            <a:rPr lang="en-US" sz="1200" b="1">
              <a:latin typeface="Times New Roman" panose="02020603050405020304" pitchFamily="18" charset="0"/>
              <a:cs typeface="Times New Roman" panose="02020603050405020304" pitchFamily="18" charset="0"/>
            </a:rPr>
            <a:t>3</a:t>
          </a:r>
          <a:r>
            <a:rPr lang="en-US" sz="1200">
              <a:latin typeface="Times New Roman" panose="02020603050405020304" pitchFamily="18" charset="0"/>
              <a:cs typeface="Times New Roman" panose="02020603050405020304" pitchFamily="18" charset="0"/>
            </a:rPr>
            <a:t> hours per day. This suggests that high engagement is not limited to a younger segment but is uniform across the surveyed age groups.</a:t>
          </a:r>
        </a:p>
        <a:p>
          <a:pPr rtl="0"/>
          <a:endParaRPr lang="en-US">
            <a:effectLst/>
          </a:endParaRPr>
        </a:p>
        <a:p>
          <a:endParaRPr lang="en-NG"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60.506560995367" createdVersion="8" refreshedVersion="8" minRefreshableVersion="3" recordCount="0" supportSubquery="1" supportAdvancedDrill="1" xr:uid="{BE220A6B-9C88-484A-A6D5-310D5208314F}">
  <cacheSource type="external" connectionId="3"/>
  <cacheFields count="3">
    <cacheField name="[SURVEY_DATAA].[Gender].[Gender]" caption="Gender" numFmtId="0" hierarchy="12" level="1">
      <sharedItems count="2">
        <s v="Female"/>
        <s v="Male"/>
      </sharedItems>
    </cacheField>
    <cacheField name="[SURVEY_DATAA].[Most Used  Platform].[Most Used  Platform]" caption="Most Used  Platform" numFmtId="0" hierarchy="15" level="1">
      <sharedItems count="5">
        <s v="Facebook"/>
        <s v="Instagram"/>
        <s v="Snapchat"/>
        <s v="TikTok"/>
        <s v="WhatsApp"/>
      </sharedItems>
    </cacheField>
    <cacheField name="[Measures].[Total_Respondents]" caption="Total_Respondents" numFmtId="0" hierarchy="19" level="32767"/>
  </cacheFields>
  <cacheHierarchies count="30">
    <cacheHierarchy uniqueName="[SM_Survey_Data 1].[Name]" caption="Name" attribute="1" defaultMemberUniqueName="[SM_Survey_Data 1].[Name].[All]" allUniqueName="[SM_Survey_Data 1].[Name].[All]" dimensionUniqueName="[SM_Survey_Data 1]" displayFolder="" count="2" memberValueDatatype="130" unbalanced="0"/>
    <cacheHierarchy uniqueName="[SM_Survey_Data 1].[Gender]" caption="Gender" attribute="1" defaultMemberUniqueName="[SM_Survey_Data 1].[Gender].[All]" allUniqueName="[SM_Survey_Data 1].[Gender].[All]" dimensionUniqueName="[SM_Survey_Data 1]" displayFolder="" count="2" memberValueDatatype="130" unbalanced="0"/>
    <cacheHierarchy uniqueName="[SM_Survey_Data 1].[Age]" caption="Age" attribute="1" defaultMemberUniqueName="[SM_Survey_Data 1].[Age].[All]" allUniqueName="[SM_Survey_Data 1].[Age].[All]" dimensionUniqueName="[SM_Survey_Data 1]" displayFolder="" count="2"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2"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2"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2" memberValueDatatype="20" unbalanced="0"/>
    <cacheHierarchy uniqueName="[SM_Survey_Data 1].[Purpose]" caption="Purpose" attribute="1" defaultMemberUniqueName="[SM_Survey_Data 1].[Purpose].[All]" allUniqueName="[SM_Survey_Data 1].[Purpose].[All]" dimensionUniqueName="[SM_Survey_Data 1]" displayFolder="" count="2" memberValueDatatype="130" unbalanced="0"/>
    <cacheHierarchy uniqueName="[SM_Survey_Data 1].[Comment]" caption="Comment" attribute="1" defaultMemberUniqueName="[SM_Survey_Data 1].[Comment].[All]" allUniqueName="[SM_Survey_Data 1].[Comment].[All]" dimensionUniqueName="[SM_Survey_Data 1]" displayFolder="" count="2" memberValueDatatype="130" unbalanced="0"/>
    <cacheHierarchy uniqueName="[SM_Survey_Data 1].[Platform]" caption="Platform" attribute="1" defaultMemberUniqueName="[SM_Survey_Data 1].[Platform].[All]" allUniqueName="[SM_Survey_Data 1].[Platform].[All]" dimensionUniqueName="[SM_Survey_Data 1]" displayFolder="" count="2" memberValueDatatype="130" unbalanced="0"/>
    <cacheHierarchy uniqueName="[SM_Survey_Data 1].[Count]" caption="Count" attribute="1" defaultMemberUniqueName="[SM_Survey_Data 1].[Count].[All]" allUniqueName="[SM_Survey_Data 1].[Count].[All]" dimensionUniqueName="[SM_Survey_Data 1]" displayFolder="" count="2" memberValueDatatype="20" unbalanced="0"/>
    <cacheHierarchy uniqueName="[SM_Survey_Data 1].[Column1]" caption="Column1" attribute="1" defaultMemberUniqueName="[SM_Survey_Data 1].[Column1].[All]" allUniqueName="[SM_Survey_Data 1].[Column1].[All]" dimensionUniqueName="[SM_Survey_Data 1]" displayFolder="" count="2" memberValueDatatype="130" unbalanced="0"/>
    <cacheHierarchy uniqueName="[SURVEY_DATAA].[Name]" caption="Name" attribute="1" defaultMemberUniqueName="[SURVEY_DATAA].[Name].[All]" allUniqueName="[SURVEY_DATAA].[Name].[All]" dimensionUniqueName="[SURVEY_DATAA]" displayFolder="" count="2" memberValueDatatype="130" unbalanced="0"/>
    <cacheHierarchy uniqueName="[SURVEY_DATAA].[Gender]" caption="Gender" attribute="1" defaultMemberUniqueName="[SURVEY_DATAA].[Gender].[All]" allUniqueName="[SURVEY_DATAA].[Gender].[All]" dimensionUniqueName="[SURVEY_DATAA]" displayFolder="" count="2" memberValueDatatype="130" unbalanced="0">
      <fieldsUsage count="2">
        <fieldUsage x="-1"/>
        <fieldUsage x="0"/>
      </fieldsUsage>
    </cacheHierarchy>
    <cacheHierarchy uniqueName="[SURVEY_DATAA].[Age]" caption="Age" attribute="1" defaultMemberUniqueName="[SURVEY_DATAA].[Age].[All]" allUniqueName="[SURVEY_DATAA].[Age].[All]" dimensionUniqueName="[SURVEY_DATAA]" displayFolder="" count="2" memberValueDatatype="130" unbalanced="0"/>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2"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fieldsUsage count="2">
        <fieldUsage x="-1"/>
        <fieldUsage x="1"/>
      </fieldsUsage>
    </cacheHierarchy>
    <cacheHierarchy uniqueName="[SURVEY_DATAA].[Hours per Day]" caption="Hours per Day" attribute="1" defaultMemberUniqueName="[SURVEY_DATAA].[Hours per Day].[All]" allUniqueName="[SURVEY_DATAA].[Hours per Day].[All]" dimensionUniqueName="[SURVEY_DATAA]" displayFolder="" count="2" memberValueDatatype="20" unbalanced="0"/>
    <cacheHierarchy uniqueName="[SURVEY_DATAA].[Purpose]" caption="Purpose" attribute="1" defaultMemberUniqueName="[SURVEY_DATAA].[Purpose].[All]" allUniqueName="[SURVEY_DATAA].[Purpose].[All]" dimensionUniqueName="[SURVEY_DATAA]" displayFolder="" count="2" memberValueDatatype="130" unbalanced="0"/>
    <cacheHierarchy uniqueName="[SURVEY_DATAA].[Comment]" caption="Comment" attribute="1" defaultMemberUniqueName="[SURVEY_DATAA].[Comment].[All]" allUniqueName="[SURVEY_DATAA].[Comment].[All]" dimensionUniqueName="[SURVEY_DATAA]" displayFolder="" count="2" memberValueDatatype="130" unbalanced="0"/>
    <cacheHierarchy uniqueName="[Measures].[Total_Respondents]" caption="Total_Respondents" measure="1" displayFolder="" measureGroup="SURVEY_DATAA" count="0" oneField="1">
      <fieldsUsage count="1">
        <fieldUsage x="2"/>
      </fieldsUsage>
    </cacheHierarchy>
    <cacheHierarchy uniqueName="[Measures].[Average_Daily_Hours]" caption="Average_Daily_Hours" measure="1" displayFolder="" measureGroup="SURVEY_DATAA" count="0"/>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SM_Survey_Data 1" uniqueName="[SM_Survey_Data 1]" caption="SM_Survey_Data 1"/>
    <dimension name="SURVEY_DATAA" uniqueName="[SURVEY_DATAA]" caption="SURVEY_DATAA"/>
  </dimensions>
  <measureGroups count="2">
    <measureGroup name="SM_Survey_Data 1" caption="SM_Survey_Data 1"/>
    <measureGroup name="SURVEY_DATAA" caption="SURVEY_DATA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60.506561458336" createdVersion="8" refreshedVersion="8" minRefreshableVersion="3" recordCount="0" supportSubquery="1" supportAdvancedDrill="1" xr:uid="{8124989C-DEB7-4E95-84BF-CCF47A4A9276}">
  <cacheSource type="external" connectionId="3"/>
  <cacheFields count="3">
    <cacheField name="[SURVEY_DATAA].[Age].[Age]" caption="Age" numFmtId="0" hierarchy="13" level="1">
      <sharedItems count="2">
        <s v="18–25"/>
        <s v="26–35"/>
      </sharedItems>
    </cacheField>
    <cacheField name="[Measures].[Average_Daily_Hours]" caption="Average_Daily_Hours" numFmtId="0" hierarchy="20" level="32767"/>
    <cacheField name="[SURVEY_DATAA].[Most Used  Platform].[Most Used  Platform]" caption="Most Used  Platform" numFmtId="0" hierarchy="15" level="1">
      <sharedItems containsSemiMixedTypes="0" containsNonDate="0" containsString="0"/>
    </cacheField>
  </cacheFields>
  <cacheHierarchies count="30">
    <cacheHierarchy uniqueName="[SM_Survey_Data 1].[Name]" caption="Name" attribute="1" defaultMemberUniqueName="[SM_Survey_Data 1].[Name].[All]" allUniqueName="[SM_Survey_Data 1].[Name].[All]" dimensionUniqueName="[SM_Survey_Data 1]" displayFolder="" count="0" memberValueDatatype="130" unbalanced="0"/>
    <cacheHierarchy uniqueName="[SM_Survey_Data 1].[Gender]" caption="Gender" attribute="1" defaultMemberUniqueName="[SM_Survey_Data 1].[Gender].[All]" allUniqueName="[SM_Survey_Data 1].[Gender].[All]" dimensionUniqueName="[SM_Survey_Data 1]" displayFolder="" count="0" memberValueDatatype="130" unbalanced="0"/>
    <cacheHierarchy uniqueName="[SM_Survey_Data 1].[Age]" caption="Age" attribute="1" defaultMemberUniqueName="[SM_Survey_Data 1].[Age].[All]" allUniqueName="[SM_Survey_Data 1].[Age].[All]" dimensionUniqueName="[SM_Survey_Data 1]" displayFolder="" count="0"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0"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0"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0" memberValueDatatype="20" unbalanced="0"/>
    <cacheHierarchy uniqueName="[SM_Survey_Data 1].[Purpose]" caption="Purpose" attribute="1" defaultMemberUniqueName="[SM_Survey_Data 1].[Purpose].[All]" allUniqueName="[SM_Survey_Data 1].[Purpose].[All]" dimensionUniqueName="[SM_Survey_Data 1]" displayFolder="" count="0" memberValueDatatype="130" unbalanced="0"/>
    <cacheHierarchy uniqueName="[SM_Survey_Data 1].[Comment]" caption="Comment" attribute="1" defaultMemberUniqueName="[SM_Survey_Data 1].[Comment].[All]" allUniqueName="[SM_Survey_Data 1].[Comment].[All]" dimensionUniqueName="[SM_Survey_Data 1]" displayFolder="" count="0" memberValueDatatype="130" unbalanced="0"/>
    <cacheHierarchy uniqueName="[SM_Survey_Data 1].[Platform]" caption="Platform" attribute="1" defaultMemberUniqueName="[SM_Survey_Data 1].[Platform].[All]" allUniqueName="[SM_Survey_Data 1].[Platform].[All]" dimensionUniqueName="[SM_Survey_Data 1]" displayFolder="" count="0" memberValueDatatype="130" unbalanced="0"/>
    <cacheHierarchy uniqueName="[SM_Survey_Data 1].[Count]" caption="Count" attribute="1" defaultMemberUniqueName="[SM_Survey_Data 1].[Count].[All]" allUniqueName="[SM_Survey_Data 1].[Count].[All]" dimensionUniqueName="[SM_Survey_Data 1]" displayFolder="" count="0" memberValueDatatype="20" unbalanced="0"/>
    <cacheHierarchy uniqueName="[SM_Survey_Data 1].[Column1]" caption="Column1" attribute="1" defaultMemberUniqueName="[SM_Survey_Data 1].[Column1].[All]" allUniqueName="[SM_Survey_Data 1].[Column1].[All]" dimensionUniqueName="[SM_Survey_Data 1]" displayFolder="" count="0" memberValueDatatype="130" unbalanced="0"/>
    <cacheHierarchy uniqueName="[SURVEY_DATAA].[Name]" caption="Name" attribute="1" defaultMemberUniqueName="[SURVEY_DATAA].[Name].[All]" allUniqueName="[SURVEY_DATAA].[Name].[All]" dimensionUniqueName="[SURVEY_DATAA]" displayFolder="" count="0" memberValueDatatype="130" unbalanced="0"/>
    <cacheHierarchy uniqueName="[SURVEY_DATAA].[Gender]" caption="Gender" attribute="1" defaultMemberUniqueName="[SURVEY_DATAA].[Gender].[All]" allUniqueName="[SURVEY_DATAA].[Gender].[All]" dimensionUniqueName="[SURVEY_DATAA]" displayFolder="" count="2" memberValueDatatype="130" unbalanced="0"/>
    <cacheHierarchy uniqueName="[SURVEY_DATAA].[Age]" caption="Age" attribute="1" defaultMemberUniqueName="[SURVEY_DATAA].[Age].[All]" allUniqueName="[SURVEY_DATAA].[Age].[All]" dimensionUniqueName="[SURVEY_DATAA]" displayFolder="" count="2" memberValueDatatype="130" unbalanced="0">
      <fieldsUsage count="2">
        <fieldUsage x="-1"/>
        <fieldUsage x="0"/>
      </fieldsUsage>
    </cacheHierarchy>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0"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fieldsUsage count="2">
        <fieldUsage x="-1"/>
        <fieldUsage x="2"/>
      </fieldsUsage>
    </cacheHierarchy>
    <cacheHierarchy uniqueName="[SURVEY_DATAA].[Hours per Day]" caption="Hours per Day" attribute="1" defaultMemberUniqueName="[SURVEY_DATAA].[Hours per Day].[All]" allUniqueName="[SURVEY_DATAA].[Hours per Day].[All]" dimensionUniqueName="[SURVEY_DATAA]" displayFolder="" count="0" memberValueDatatype="20" unbalanced="0"/>
    <cacheHierarchy uniqueName="[SURVEY_DATAA].[Purpose]" caption="Purpose" attribute="1" defaultMemberUniqueName="[SURVEY_DATAA].[Purpose].[All]" allUniqueName="[SURVEY_DATAA].[Purpose].[All]" dimensionUniqueName="[SURVEY_DATAA]" displayFolder="" count="2" memberValueDatatype="130" unbalanced="0"/>
    <cacheHierarchy uniqueName="[SURVEY_DATAA].[Comment]" caption="Comment" attribute="1" defaultMemberUniqueName="[SURVEY_DATAA].[Comment].[All]" allUniqueName="[SURVEY_DATAA].[Comment].[All]" dimensionUniqueName="[SURVEY_DATAA]" displayFolder="" count="0" memberValueDatatype="130" unbalanced="0"/>
    <cacheHierarchy uniqueName="[Measures].[Total_Respondents]" caption="Total_Respondents" measure="1" displayFolder="" measureGroup="SURVEY_DATAA" count="0"/>
    <cacheHierarchy uniqueName="[Measures].[Average_Daily_Hours]" caption="Average_Daily_Hours" measure="1" displayFolder="" measureGroup="SURVEY_DATAA" count="0" oneField="1">
      <fieldsUsage count="1">
        <fieldUsage x="1"/>
      </fieldsUsage>
    </cacheHierarchy>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SM_Survey_Data 1" uniqueName="[SM_Survey_Data 1]" caption="SM_Survey_Data 1"/>
    <dimension name="SURVEY_DATAA" uniqueName="[SURVEY_DATAA]" caption="SURVEY_DATAA"/>
  </dimensions>
  <measureGroups count="2">
    <measureGroup name="SM_Survey_Data 1" caption="SM_Survey_Data 1"/>
    <measureGroup name="SURVEY_DATAA" caption="SURVEY_DATA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60.506561921298" createdVersion="8" refreshedVersion="8" minRefreshableVersion="3" recordCount="0" supportSubquery="1" supportAdvancedDrill="1" xr:uid="{B90B6776-D22F-4BB7-9311-BB90BF98AE7B}">
  <cacheSource type="external" connectionId="3"/>
  <cacheFields count="3">
    <cacheField name="[SURVEY_DATAA].[Gender].[Gender]" caption="Gender" numFmtId="0" hierarchy="12" level="1">
      <sharedItems count="2">
        <s v="Female"/>
        <s v="Male"/>
      </sharedItems>
    </cacheField>
    <cacheField name="[Measures].[Total_Respondents]" caption="Total_Respondents" numFmtId="0" hierarchy="19" level="32767"/>
    <cacheField name="[SURVEY_DATAA].[Most Used  Platform].[Most Used  Platform]" caption="Most Used  Platform" numFmtId="0" hierarchy="15" level="1">
      <sharedItems containsSemiMixedTypes="0" containsNonDate="0" containsString="0"/>
    </cacheField>
  </cacheFields>
  <cacheHierarchies count="30">
    <cacheHierarchy uniqueName="[SM_Survey_Data 1].[Name]" caption="Name" attribute="1" defaultMemberUniqueName="[SM_Survey_Data 1].[Name].[All]" allUniqueName="[SM_Survey_Data 1].[Name].[All]" dimensionUniqueName="[SM_Survey_Data 1]" displayFolder="" count="2" memberValueDatatype="130" unbalanced="0"/>
    <cacheHierarchy uniqueName="[SM_Survey_Data 1].[Gender]" caption="Gender" attribute="1" defaultMemberUniqueName="[SM_Survey_Data 1].[Gender].[All]" allUniqueName="[SM_Survey_Data 1].[Gender].[All]" dimensionUniqueName="[SM_Survey_Data 1]" displayFolder="" count="2" memberValueDatatype="130" unbalanced="0"/>
    <cacheHierarchy uniqueName="[SM_Survey_Data 1].[Age]" caption="Age" attribute="1" defaultMemberUniqueName="[SM_Survey_Data 1].[Age].[All]" allUniqueName="[SM_Survey_Data 1].[Age].[All]" dimensionUniqueName="[SM_Survey_Data 1]" displayFolder="" count="2"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2"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2"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2" memberValueDatatype="20" unbalanced="0"/>
    <cacheHierarchy uniqueName="[SM_Survey_Data 1].[Purpose]" caption="Purpose" attribute="1" defaultMemberUniqueName="[SM_Survey_Data 1].[Purpose].[All]" allUniqueName="[SM_Survey_Data 1].[Purpose].[All]" dimensionUniqueName="[SM_Survey_Data 1]" displayFolder="" count="2" memberValueDatatype="130" unbalanced="0"/>
    <cacheHierarchy uniqueName="[SM_Survey_Data 1].[Comment]" caption="Comment" attribute="1" defaultMemberUniqueName="[SM_Survey_Data 1].[Comment].[All]" allUniqueName="[SM_Survey_Data 1].[Comment].[All]" dimensionUniqueName="[SM_Survey_Data 1]" displayFolder="" count="2" memberValueDatatype="130" unbalanced="0"/>
    <cacheHierarchy uniqueName="[SM_Survey_Data 1].[Platform]" caption="Platform" attribute="1" defaultMemberUniqueName="[SM_Survey_Data 1].[Platform].[All]" allUniqueName="[SM_Survey_Data 1].[Platform].[All]" dimensionUniqueName="[SM_Survey_Data 1]" displayFolder="" count="2" memberValueDatatype="130" unbalanced="0"/>
    <cacheHierarchy uniqueName="[SM_Survey_Data 1].[Count]" caption="Count" attribute="1" defaultMemberUniqueName="[SM_Survey_Data 1].[Count].[All]" allUniqueName="[SM_Survey_Data 1].[Count].[All]" dimensionUniqueName="[SM_Survey_Data 1]" displayFolder="" count="2" memberValueDatatype="20" unbalanced="0"/>
    <cacheHierarchy uniqueName="[SM_Survey_Data 1].[Column1]" caption="Column1" attribute="1" defaultMemberUniqueName="[SM_Survey_Data 1].[Column1].[All]" allUniqueName="[SM_Survey_Data 1].[Column1].[All]" dimensionUniqueName="[SM_Survey_Data 1]" displayFolder="" count="2" memberValueDatatype="130" unbalanced="0"/>
    <cacheHierarchy uniqueName="[SURVEY_DATAA].[Name]" caption="Name" attribute="1" defaultMemberUniqueName="[SURVEY_DATAA].[Name].[All]" allUniqueName="[SURVEY_DATAA].[Name].[All]" dimensionUniqueName="[SURVEY_DATAA]" displayFolder="" count="2" memberValueDatatype="130" unbalanced="0"/>
    <cacheHierarchy uniqueName="[SURVEY_DATAA].[Gender]" caption="Gender" attribute="1" defaultMemberUniqueName="[SURVEY_DATAA].[Gender].[All]" allUniqueName="[SURVEY_DATAA].[Gender].[All]" dimensionUniqueName="[SURVEY_DATAA]" displayFolder="" count="2" memberValueDatatype="130" unbalanced="0">
      <fieldsUsage count="2">
        <fieldUsage x="-1"/>
        <fieldUsage x="0"/>
      </fieldsUsage>
    </cacheHierarchy>
    <cacheHierarchy uniqueName="[SURVEY_DATAA].[Age]" caption="Age" attribute="1" defaultMemberUniqueName="[SURVEY_DATAA].[Age].[All]" allUniqueName="[SURVEY_DATAA].[Age].[All]" dimensionUniqueName="[SURVEY_DATAA]" displayFolder="" count="2" memberValueDatatype="130" unbalanced="0"/>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2"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fieldsUsage count="2">
        <fieldUsage x="-1"/>
        <fieldUsage x="2"/>
      </fieldsUsage>
    </cacheHierarchy>
    <cacheHierarchy uniqueName="[SURVEY_DATAA].[Hours per Day]" caption="Hours per Day" attribute="1" defaultMemberUniqueName="[SURVEY_DATAA].[Hours per Day].[All]" allUniqueName="[SURVEY_DATAA].[Hours per Day].[All]" dimensionUniqueName="[SURVEY_DATAA]" displayFolder="" count="2" memberValueDatatype="20" unbalanced="0"/>
    <cacheHierarchy uniqueName="[SURVEY_DATAA].[Purpose]" caption="Purpose" attribute="1" defaultMemberUniqueName="[SURVEY_DATAA].[Purpose].[All]" allUniqueName="[SURVEY_DATAA].[Purpose].[All]" dimensionUniqueName="[SURVEY_DATAA]" displayFolder="" count="2" memberValueDatatype="130" unbalanced="0"/>
    <cacheHierarchy uniqueName="[SURVEY_DATAA].[Comment]" caption="Comment" attribute="1" defaultMemberUniqueName="[SURVEY_DATAA].[Comment].[All]" allUniqueName="[SURVEY_DATAA].[Comment].[All]" dimensionUniqueName="[SURVEY_DATAA]" displayFolder="" count="2" memberValueDatatype="130" unbalanced="0"/>
    <cacheHierarchy uniqueName="[Measures].[Total_Respondents]" caption="Total_Respondents" measure="1" displayFolder="" measureGroup="SURVEY_DATAA" count="0" oneField="1">
      <fieldsUsage count="1">
        <fieldUsage x="1"/>
      </fieldsUsage>
    </cacheHierarchy>
    <cacheHierarchy uniqueName="[Measures].[Average_Daily_Hours]" caption="Average_Daily_Hours" measure="1" displayFolder="" measureGroup="SURVEY_DATAA" count="0"/>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SM_Survey_Data 1" uniqueName="[SM_Survey_Data 1]" caption="SM_Survey_Data 1"/>
    <dimension name="SURVEY_DATAA" uniqueName="[SURVEY_DATAA]" caption="SURVEY_DATAA"/>
  </dimensions>
  <measureGroups count="2">
    <measureGroup name="SM_Survey_Data 1" caption="SM_Survey_Data 1"/>
    <measureGroup name="SURVEY_DATAA" caption="SURVEY_DATA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60.50656238426" createdVersion="8" refreshedVersion="8" minRefreshableVersion="3" recordCount="0" supportSubquery="1" supportAdvancedDrill="1" xr:uid="{1302DC9F-E349-48A9-853E-2D94AA252CE5}">
  <cacheSource type="external" connectionId="3"/>
  <cacheFields count="3">
    <cacheField name="[SURVEY_DATAA].[Purpose].[Purpose]" caption="Purpose" numFmtId="0" hierarchy="17" level="1">
      <sharedItems count="4">
        <s v="Business"/>
        <s v="Communication"/>
        <s v="Entertainment"/>
        <s v="News"/>
      </sharedItems>
    </cacheField>
    <cacheField name="[Measures].[Total_Respondents]" caption="Total_Respondents" numFmtId="0" hierarchy="19" level="32767"/>
    <cacheField name="[SURVEY_DATAA].[Most Used  Platform].[Most Used  Platform]" caption="Most Used  Platform" numFmtId="0" hierarchy="15" level="1">
      <sharedItems containsSemiMixedTypes="0" containsNonDate="0" containsString="0"/>
    </cacheField>
  </cacheFields>
  <cacheHierarchies count="30">
    <cacheHierarchy uniqueName="[SM_Survey_Data 1].[Name]" caption="Name" attribute="1" defaultMemberUniqueName="[SM_Survey_Data 1].[Name].[All]" allUniqueName="[SM_Survey_Data 1].[Name].[All]" dimensionUniqueName="[SM_Survey_Data 1]" displayFolder="" count="0" memberValueDatatype="130" unbalanced="0"/>
    <cacheHierarchy uniqueName="[SM_Survey_Data 1].[Gender]" caption="Gender" attribute="1" defaultMemberUniqueName="[SM_Survey_Data 1].[Gender].[All]" allUniqueName="[SM_Survey_Data 1].[Gender].[All]" dimensionUniqueName="[SM_Survey_Data 1]" displayFolder="" count="0" memberValueDatatype="130" unbalanced="0"/>
    <cacheHierarchy uniqueName="[SM_Survey_Data 1].[Age]" caption="Age" attribute="1" defaultMemberUniqueName="[SM_Survey_Data 1].[Age].[All]" allUniqueName="[SM_Survey_Data 1].[Age].[All]" dimensionUniqueName="[SM_Survey_Data 1]" displayFolder="" count="0"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0"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0"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0" memberValueDatatype="20" unbalanced="0"/>
    <cacheHierarchy uniqueName="[SM_Survey_Data 1].[Purpose]" caption="Purpose" attribute="1" defaultMemberUniqueName="[SM_Survey_Data 1].[Purpose].[All]" allUniqueName="[SM_Survey_Data 1].[Purpose].[All]" dimensionUniqueName="[SM_Survey_Data 1]" displayFolder="" count="0" memberValueDatatype="130" unbalanced="0"/>
    <cacheHierarchy uniqueName="[SM_Survey_Data 1].[Comment]" caption="Comment" attribute="1" defaultMemberUniqueName="[SM_Survey_Data 1].[Comment].[All]" allUniqueName="[SM_Survey_Data 1].[Comment].[All]" dimensionUniqueName="[SM_Survey_Data 1]" displayFolder="" count="0" memberValueDatatype="130" unbalanced="0"/>
    <cacheHierarchy uniqueName="[SM_Survey_Data 1].[Platform]" caption="Platform" attribute="1" defaultMemberUniqueName="[SM_Survey_Data 1].[Platform].[All]" allUniqueName="[SM_Survey_Data 1].[Platform].[All]" dimensionUniqueName="[SM_Survey_Data 1]" displayFolder="" count="0" memberValueDatatype="130" unbalanced="0"/>
    <cacheHierarchy uniqueName="[SM_Survey_Data 1].[Count]" caption="Count" attribute="1" defaultMemberUniqueName="[SM_Survey_Data 1].[Count].[All]" allUniqueName="[SM_Survey_Data 1].[Count].[All]" dimensionUniqueName="[SM_Survey_Data 1]" displayFolder="" count="0" memberValueDatatype="20" unbalanced="0"/>
    <cacheHierarchy uniqueName="[SM_Survey_Data 1].[Column1]" caption="Column1" attribute="1" defaultMemberUniqueName="[SM_Survey_Data 1].[Column1].[All]" allUniqueName="[SM_Survey_Data 1].[Column1].[All]" dimensionUniqueName="[SM_Survey_Data 1]" displayFolder="" count="0" memberValueDatatype="130" unbalanced="0"/>
    <cacheHierarchy uniqueName="[SURVEY_DATAA].[Name]" caption="Name" attribute="1" defaultMemberUniqueName="[SURVEY_DATAA].[Name].[All]" allUniqueName="[SURVEY_DATAA].[Name].[All]" dimensionUniqueName="[SURVEY_DATAA]" displayFolder="" count="0" memberValueDatatype="130" unbalanced="0"/>
    <cacheHierarchy uniqueName="[SURVEY_DATAA].[Gender]" caption="Gender" attribute="1" defaultMemberUniqueName="[SURVEY_DATAA].[Gender].[All]" allUniqueName="[SURVEY_DATAA].[Gender].[All]" dimensionUniqueName="[SURVEY_DATAA]" displayFolder="" count="2" memberValueDatatype="130" unbalanced="0"/>
    <cacheHierarchy uniqueName="[SURVEY_DATAA].[Age]" caption="Age" attribute="1" defaultMemberUniqueName="[SURVEY_DATAA].[Age].[All]" allUniqueName="[SURVEY_DATAA].[Age].[All]" dimensionUniqueName="[SURVEY_DATAA]" displayFolder="" count="0" memberValueDatatype="130" unbalanced="0"/>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0"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fieldsUsage count="2">
        <fieldUsage x="-1"/>
        <fieldUsage x="2"/>
      </fieldsUsage>
    </cacheHierarchy>
    <cacheHierarchy uniqueName="[SURVEY_DATAA].[Hours per Day]" caption="Hours per Day" attribute="1" defaultMemberUniqueName="[SURVEY_DATAA].[Hours per Day].[All]" allUniqueName="[SURVEY_DATAA].[Hours per Day].[All]" dimensionUniqueName="[SURVEY_DATAA]" displayFolder="" count="0" memberValueDatatype="20" unbalanced="0"/>
    <cacheHierarchy uniqueName="[SURVEY_DATAA].[Purpose]" caption="Purpose" attribute="1" defaultMemberUniqueName="[SURVEY_DATAA].[Purpose].[All]" allUniqueName="[SURVEY_DATAA].[Purpose].[All]" dimensionUniqueName="[SURVEY_DATAA]" displayFolder="" count="2" memberValueDatatype="130" unbalanced="0">
      <fieldsUsage count="2">
        <fieldUsage x="-1"/>
        <fieldUsage x="0"/>
      </fieldsUsage>
    </cacheHierarchy>
    <cacheHierarchy uniqueName="[SURVEY_DATAA].[Comment]" caption="Comment" attribute="1" defaultMemberUniqueName="[SURVEY_DATAA].[Comment].[All]" allUniqueName="[SURVEY_DATAA].[Comment].[All]" dimensionUniqueName="[SURVEY_DATAA]" displayFolder="" count="0" memberValueDatatype="130" unbalanced="0"/>
    <cacheHierarchy uniqueName="[Measures].[Total_Respondents]" caption="Total_Respondents" measure="1" displayFolder="" measureGroup="SURVEY_DATAA" count="0" oneField="1">
      <fieldsUsage count="1">
        <fieldUsage x="1"/>
      </fieldsUsage>
    </cacheHierarchy>
    <cacheHierarchy uniqueName="[Measures].[Average_Daily_Hours]" caption="Average_Daily_Hours" measure="1" displayFolder="" measureGroup="SURVEY_DATAA" count="0"/>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SM_Survey_Data 1" uniqueName="[SM_Survey_Data 1]" caption="SM_Survey_Data 1"/>
    <dimension name="SURVEY_DATAA" uniqueName="[SURVEY_DATAA]" caption="SURVEY_DATAA"/>
  </dimensions>
  <measureGroups count="2">
    <measureGroup name="SM_Survey_Data 1" caption="SM_Survey_Data 1"/>
    <measureGroup name="SURVEY_DATAA" caption="SURVEY_DATA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60.506562962961" createdVersion="8" refreshedVersion="8" minRefreshableVersion="3" recordCount="0" supportSubquery="1" supportAdvancedDrill="1" xr:uid="{7D0599E2-E64C-4762-B30E-8E6F7F529E9C}">
  <cacheSource type="external" connectionId="3"/>
  <cacheFields count="3">
    <cacheField name="[SURVEY_DATAA].[Age].[Age]" caption="Age" numFmtId="0" hierarchy="13" level="1">
      <sharedItems count="2">
        <s v="18–25"/>
        <s v="26–35"/>
      </sharedItems>
    </cacheField>
    <cacheField name="[Measures].[Total_Respondents]" caption="Total_Respondents" numFmtId="0" hierarchy="19" level="32767"/>
    <cacheField name="[SURVEY_DATAA].[Most Used  Platform].[Most Used  Platform]" caption="Most Used  Platform" numFmtId="0" hierarchy="15" level="1">
      <sharedItems containsSemiMixedTypes="0" containsNonDate="0" containsString="0"/>
    </cacheField>
  </cacheFields>
  <cacheHierarchies count="30">
    <cacheHierarchy uniqueName="[SM_Survey_Data 1].[Name]" caption="Name" attribute="1" defaultMemberUniqueName="[SM_Survey_Data 1].[Name].[All]" allUniqueName="[SM_Survey_Data 1].[Name].[All]" dimensionUniqueName="[SM_Survey_Data 1]" displayFolder="" count="0" memberValueDatatype="130" unbalanced="0"/>
    <cacheHierarchy uniqueName="[SM_Survey_Data 1].[Gender]" caption="Gender" attribute="1" defaultMemberUniqueName="[SM_Survey_Data 1].[Gender].[All]" allUniqueName="[SM_Survey_Data 1].[Gender].[All]" dimensionUniqueName="[SM_Survey_Data 1]" displayFolder="" count="0" memberValueDatatype="130" unbalanced="0"/>
    <cacheHierarchy uniqueName="[SM_Survey_Data 1].[Age]" caption="Age" attribute="1" defaultMemberUniqueName="[SM_Survey_Data 1].[Age].[All]" allUniqueName="[SM_Survey_Data 1].[Age].[All]" dimensionUniqueName="[SM_Survey_Data 1]" displayFolder="" count="0"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0"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0"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0" memberValueDatatype="20" unbalanced="0"/>
    <cacheHierarchy uniqueName="[SM_Survey_Data 1].[Purpose]" caption="Purpose" attribute="1" defaultMemberUniqueName="[SM_Survey_Data 1].[Purpose].[All]" allUniqueName="[SM_Survey_Data 1].[Purpose].[All]" dimensionUniqueName="[SM_Survey_Data 1]" displayFolder="" count="0" memberValueDatatype="130" unbalanced="0"/>
    <cacheHierarchy uniqueName="[SM_Survey_Data 1].[Comment]" caption="Comment" attribute="1" defaultMemberUniqueName="[SM_Survey_Data 1].[Comment].[All]" allUniqueName="[SM_Survey_Data 1].[Comment].[All]" dimensionUniqueName="[SM_Survey_Data 1]" displayFolder="" count="0" memberValueDatatype="130" unbalanced="0"/>
    <cacheHierarchy uniqueName="[SM_Survey_Data 1].[Platform]" caption="Platform" attribute="1" defaultMemberUniqueName="[SM_Survey_Data 1].[Platform].[All]" allUniqueName="[SM_Survey_Data 1].[Platform].[All]" dimensionUniqueName="[SM_Survey_Data 1]" displayFolder="" count="0" memberValueDatatype="130" unbalanced="0"/>
    <cacheHierarchy uniqueName="[SM_Survey_Data 1].[Count]" caption="Count" attribute="1" defaultMemberUniqueName="[SM_Survey_Data 1].[Count].[All]" allUniqueName="[SM_Survey_Data 1].[Count].[All]" dimensionUniqueName="[SM_Survey_Data 1]" displayFolder="" count="0" memberValueDatatype="20" unbalanced="0"/>
    <cacheHierarchy uniqueName="[SM_Survey_Data 1].[Column1]" caption="Column1" attribute="1" defaultMemberUniqueName="[SM_Survey_Data 1].[Column1].[All]" allUniqueName="[SM_Survey_Data 1].[Column1].[All]" dimensionUniqueName="[SM_Survey_Data 1]" displayFolder="" count="0" memberValueDatatype="130" unbalanced="0"/>
    <cacheHierarchy uniqueName="[SURVEY_DATAA].[Name]" caption="Name" attribute="1" defaultMemberUniqueName="[SURVEY_DATAA].[Name].[All]" allUniqueName="[SURVEY_DATAA].[Name].[All]" dimensionUniqueName="[SURVEY_DATAA]" displayFolder="" count="0" memberValueDatatype="130" unbalanced="0"/>
    <cacheHierarchy uniqueName="[SURVEY_DATAA].[Gender]" caption="Gender" attribute="1" defaultMemberUniqueName="[SURVEY_DATAA].[Gender].[All]" allUniqueName="[SURVEY_DATAA].[Gender].[All]" dimensionUniqueName="[SURVEY_DATAA]" displayFolder="" count="2" memberValueDatatype="130" unbalanced="0"/>
    <cacheHierarchy uniqueName="[SURVEY_DATAA].[Age]" caption="Age" attribute="1" defaultMemberUniqueName="[SURVEY_DATAA].[Age].[All]" allUniqueName="[SURVEY_DATAA].[Age].[All]" dimensionUniqueName="[SURVEY_DATAA]" displayFolder="" count="2" memberValueDatatype="130" unbalanced="0">
      <fieldsUsage count="2">
        <fieldUsage x="-1"/>
        <fieldUsage x="0"/>
      </fieldsUsage>
    </cacheHierarchy>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0"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fieldsUsage count="2">
        <fieldUsage x="-1"/>
        <fieldUsage x="2"/>
      </fieldsUsage>
    </cacheHierarchy>
    <cacheHierarchy uniqueName="[SURVEY_DATAA].[Hours per Day]" caption="Hours per Day" attribute="1" defaultMemberUniqueName="[SURVEY_DATAA].[Hours per Day].[All]" allUniqueName="[SURVEY_DATAA].[Hours per Day].[All]" dimensionUniqueName="[SURVEY_DATAA]" displayFolder="" count="0" memberValueDatatype="20" unbalanced="0"/>
    <cacheHierarchy uniqueName="[SURVEY_DATAA].[Purpose]" caption="Purpose" attribute="1" defaultMemberUniqueName="[SURVEY_DATAA].[Purpose].[All]" allUniqueName="[SURVEY_DATAA].[Purpose].[All]" dimensionUniqueName="[SURVEY_DATAA]" displayFolder="" count="2" memberValueDatatype="130" unbalanced="0"/>
    <cacheHierarchy uniqueName="[SURVEY_DATAA].[Comment]" caption="Comment" attribute="1" defaultMemberUniqueName="[SURVEY_DATAA].[Comment].[All]" allUniqueName="[SURVEY_DATAA].[Comment].[All]" dimensionUniqueName="[SURVEY_DATAA]" displayFolder="" count="0" memberValueDatatype="130" unbalanced="0"/>
    <cacheHierarchy uniqueName="[Measures].[Total_Respondents]" caption="Total_Respondents" measure="1" displayFolder="" measureGroup="SURVEY_DATAA" count="0" oneField="1">
      <fieldsUsage count="1">
        <fieldUsage x="1"/>
      </fieldsUsage>
    </cacheHierarchy>
    <cacheHierarchy uniqueName="[Measures].[Average_Daily_Hours]" caption="Average_Daily_Hours" measure="1" displayFolder="" measureGroup="SURVEY_DATAA" count="0"/>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SM_Survey_Data 1" uniqueName="[SM_Survey_Data 1]" caption="SM_Survey_Data 1"/>
    <dimension name="SURVEY_DATAA" uniqueName="[SURVEY_DATAA]" caption="SURVEY_DATAA"/>
  </dimensions>
  <measureGroups count="2">
    <measureGroup name="SM_Survey_Data 1" caption="SM_Survey_Data 1"/>
    <measureGroup name="SURVEY_DATAA" caption="SURVEY_DATA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60.506563541669" createdVersion="8" refreshedVersion="8" minRefreshableVersion="3" recordCount="0" supportSubquery="1" supportAdvancedDrill="1" xr:uid="{F3C54BDA-EDDE-41E5-92FA-9B37DD42A1BF}">
  <cacheSource type="external" connectionId="3"/>
  <cacheFields count="2">
    <cacheField name="[Measures].[Total_Respondents]" caption="Total_Respondents" numFmtId="0" hierarchy="19" level="32767"/>
    <cacheField name="[SURVEY_DATAA].[Most Used  Platform].[Most Used  Platform]" caption="Most Used  Platform" numFmtId="0" hierarchy="15" level="1">
      <sharedItems count="5">
        <s v="Facebook"/>
        <s v="Instagram"/>
        <s v="Snapchat"/>
        <s v="TikTok"/>
        <s v="WhatsApp"/>
      </sharedItems>
    </cacheField>
  </cacheFields>
  <cacheHierarchies count="30">
    <cacheHierarchy uniqueName="[SM_Survey_Data 1].[Name]" caption="Name" attribute="1" defaultMemberUniqueName="[SM_Survey_Data 1].[Name].[All]" allUniqueName="[SM_Survey_Data 1].[Name].[All]" dimensionUniqueName="[SM_Survey_Data 1]" displayFolder="" count="0" memberValueDatatype="130" unbalanced="0"/>
    <cacheHierarchy uniqueName="[SM_Survey_Data 1].[Gender]" caption="Gender" attribute="1" defaultMemberUniqueName="[SM_Survey_Data 1].[Gender].[All]" allUniqueName="[SM_Survey_Data 1].[Gender].[All]" dimensionUniqueName="[SM_Survey_Data 1]" displayFolder="" count="0" memberValueDatatype="130" unbalanced="0"/>
    <cacheHierarchy uniqueName="[SM_Survey_Data 1].[Age]" caption="Age" attribute="1" defaultMemberUniqueName="[SM_Survey_Data 1].[Age].[All]" allUniqueName="[SM_Survey_Data 1].[Age].[All]" dimensionUniqueName="[SM_Survey_Data 1]" displayFolder="" count="0"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0"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0"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0" memberValueDatatype="20" unbalanced="0"/>
    <cacheHierarchy uniqueName="[SM_Survey_Data 1].[Purpose]" caption="Purpose" attribute="1" defaultMemberUniqueName="[SM_Survey_Data 1].[Purpose].[All]" allUniqueName="[SM_Survey_Data 1].[Purpose].[All]" dimensionUniqueName="[SM_Survey_Data 1]" displayFolder="" count="0" memberValueDatatype="130" unbalanced="0"/>
    <cacheHierarchy uniqueName="[SM_Survey_Data 1].[Comment]" caption="Comment" attribute="1" defaultMemberUniqueName="[SM_Survey_Data 1].[Comment].[All]" allUniqueName="[SM_Survey_Data 1].[Comment].[All]" dimensionUniqueName="[SM_Survey_Data 1]" displayFolder="" count="0" memberValueDatatype="130" unbalanced="0"/>
    <cacheHierarchy uniqueName="[SM_Survey_Data 1].[Platform]" caption="Platform" attribute="1" defaultMemberUniqueName="[SM_Survey_Data 1].[Platform].[All]" allUniqueName="[SM_Survey_Data 1].[Platform].[All]" dimensionUniqueName="[SM_Survey_Data 1]" displayFolder="" count="0" memberValueDatatype="130" unbalanced="0"/>
    <cacheHierarchy uniqueName="[SM_Survey_Data 1].[Count]" caption="Count" attribute="1" defaultMemberUniqueName="[SM_Survey_Data 1].[Count].[All]" allUniqueName="[SM_Survey_Data 1].[Count].[All]" dimensionUniqueName="[SM_Survey_Data 1]" displayFolder="" count="0" memberValueDatatype="20" unbalanced="0"/>
    <cacheHierarchy uniqueName="[SM_Survey_Data 1].[Column1]" caption="Column1" attribute="1" defaultMemberUniqueName="[SM_Survey_Data 1].[Column1].[All]" allUniqueName="[SM_Survey_Data 1].[Column1].[All]" dimensionUniqueName="[SM_Survey_Data 1]" displayFolder="" count="0" memberValueDatatype="130" unbalanced="0"/>
    <cacheHierarchy uniqueName="[SURVEY_DATAA].[Name]" caption="Name" attribute="1" defaultMemberUniqueName="[SURVEY_DATAA].[Name].[All]" allUniqueName="[SURVEY_DATAA].[Name].[All]" dimensionUniqueName="[SURVEY_DATAA]" displayFolder="" count="0" memberValueDatatype="130" unbalanced="0"/>
    <cacheHierarchy uniqueName="[SURVEY_DATAA].[Gender]" caption="Gender" attribute="1" defaultMemberUniqueName="[SURVEY_DATAA].[Gender].[All]" allUniqueName="[SURVEY_DATAA].[Gender].[All]" dimensionUniqueName="[SURVEY_DATAA]" displayFolder="" count="2" memberValueDatatype="130" unbalanced="0"/>
    <cacheHierarchy uniqueName="[SURVEY_DATAA].[Age]" caption="Age" attribute="1" defaultMemberUniqueName="[SURVEY_DATAA].[Age].[All]" allUniqueName="[SURVEY_DATAA].[Age].[All]" dimensionUniqueName="[SURVEY_DATAA]" displayFolder="" count="0" memberValueDatatype="130" unbalanced="0"/>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2"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fieldsUsage count="2">
        <fieldUsage x="-1"/>
        <fieldUsage x="1"/>
      </fieldsUsage>
    </cacheHierarchy>
    <cacheHierarchy uniqueName="[SURVEY_DATAA].[Hours per Day]" caption="Hours per Day" attribute="1" defaultMemberUniqueName="[SURVEY_DATAA].[Hours per Day].[All]" allUniqueName="[SURVEY_DATAA].[Hours per Day].[All]" dimensionUniqueName="[SURVEY_DATAA]" displayFolder="" count="0" memberValueDatatype="20" unbalanced="0"/>
    <cacheHierarchy uniqueName="[SURVEY_DATAA].[Purpose]" caption="Purpose" attribute="1" defaultMemberUniqueName="[SURVEY_DATAA].[Purpose].[All]" allUniqueName="[SURVEY_DATAA].[Purpose].[All]" dimensionUniqueName="[SURVEY_DATAA]" displayFolder="" count="2" memberValueDatatype="130" unbalanced="0"/>
    <cacheHierarchy uniqueName="[SURVEY_DATAA].[Comment]" caption="Comment" attribute="1" defaultMemberUniqueName="[SURVEY_DATAA].[Comment].[All]" allUniqueName="[SURVEY_DATAA].[Comment].[All]" dimensionUniqueName="[SURVEY_DATAA]" displayFolder="" count="0" memberValueDatatype="130" unbalanced="0"/>
    <cacheHierarchy uniqueName="[Measures].[Total_Respondents]" caption="Total_Respondents" measure="1" displayFolder="" measureGroup="SURVEY_DATAA" count="0" oneField="1">
      <fieldsUsage count="1">
        <fieldUsage x="0"/>
      </fieldsUsage>
    </cacheHierarchy>
    <cacheHierarchy uniqueName="[Measures].[Average_Daily_Hours]" caption="Average_Daily_Hours" measure="1" displayFolder="" measureGroup="SURVEY_DATAA" count="0"/>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SM_Survey_Data 1" uniqueName="[SM_Survey_Data 1]" caption="SM_Survey_Data 1"/>
    <dimension name="SURVEY_DATAA" uniqueName="[SURVEY_DATAA]" caption="SURVEY_DATAA"/>
  </dimensions>
  <measureGroups count="2">
    <measureGroup name="SM_Survey_Data 1" caption="SM_Survey_Data 1"/>
    <measureGroup name="SURVEY_DATAA" caption="SURVEY_DATA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60.506563888892" createdVersion="8" refreshedVersion="8" minRefreshableVersion="3" recordCount="0" supportSubquery="1" supportAdvancedDrill="1" xr:uid="{2C4C325B-2541-42C6-A573-2DEDD1F54436}">
  <cacheSource type="external" connectionId="3"/>
  <cacheFields count="4">
    <cacheField name="[SURVEY_DATAA].[Hours per Day].[Hours per Day]" caption="Hours per Day" numFmtId="0" hierarchy="16"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SURVEY_DATAA].[Hours per Day].&amp;[2]"/>
            <x15:cachedUniqueName index="1" name="[SURVEY_DATAA].[Hours per Day].&amp;[3]"/>
            <x15:cachedUniqueName index="2" name="[SURVEY_DATAA].[Hours per Day].&amp;[4]"/>
            <x15:cachedUniqueName index="3" name="[SURVEY_DATAA].[Hours per Day].&amp;[5]"/>
          </x15:cachedUniqueNames>
        </ext>
      </extLst>
    </cacheField>
    <cacheField name="[SURVEY_DATAA].[Purpose].[Purpose]" caption="Purpose" numFmtId="0" hierarchy="17" level="1">
      <sharedItems count="4">
        <s v="Business"/>
        <s v="Communication"/>
        <s v="Entertainment"/>
        <s v="News"/>
      </sharedItems>
    </cacheField>
    <cacheField name="[Measures].[Total_Respondents]" caption="Total_Respondents" numFmtId="0" hierarchy="19" level="32767"/>
    <cacheField name="[SURVEY_DATAA].[Most Used  Platform].[Most Used  Platform]" caption="Most Used  Platform" numFmtId="0" hierarchy="15" level="1">
      <sharedItems containsSemiMixedTypes="0" containsNonDate="0" containsString="0"/>
    </cacheField>
  </cacheFields>
  <cacheHierarchies count="30">
    <cacheHierarchy uniqueName="[SM_Survey_Data 1].[Name]" caption="Name" attribute="1" defaultMemberUniqueName="[SM_Survey_Data 1].[Name].[All]" allUniqueName="[SM_Survey_Data 1].[Name].[All]" dimensionUniqueName="[SM_Survey_Data 1]" displayFolder="" count="0" memberValueDatatype="130" unbalanced="0"/>
    <cacheHierarchy uniqueName="[SM_Survey_Data 1].[Gender]" caption="Gender" attribute="1" defaultMemberUniqueName="[SM_Survey_Data 1].[Gender].[All]" allUniqueName="[SM_Survey_Data 1].[Gender].[All]" dimensionUniqueName="[SM_Survey_Data 1]" displayFolder="" count="0" memberValueDatatype="130" unbalanced="0"/>
    <cacheHierarchy uniqueName="[SM_Survey_Data 1].[Age]" caption="Age" attribute="1" defaultMemberUniqueName="[SM_Survey_Data 1].[Age].[All]" allUniqueName="[SM_Survey_Data 1].[Age].[All]" dimensionUniqueName="[SM_Survey_Data 1]" displayFolder="" count="0"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0"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0"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0" memberValueDatatype="20" unbalanced="0"/>
    <cacheHierarchy uniqueName="[SM_Survey_Data 1].[Purpose]" caption="Purpose" attribute="1" defaultMemberUniqueName="[SM_Survey_Data 1].[Purpose].[All]" allUniqueName="[SM_Survey_Data 1].[Purpose].[All]" dimensionUniqueName="[SM_Survey_Data 1]" displayFolder="" count="0" memberValueDatatype="130" unbalanced="0"/>
    <cacheHierarchy uniqueName="[SM_Survey_Data 1].[Comment]" caption="Comment" attribute="1" defaultMemberUniqueName="[SM_Survey_Data 1].[Comment].[All]" allUniqueName="[SM_Survey_Data 1].[Comment].[All]" dimensionUniqueName="[SM_Survey_Data 1]" displayFolder="" count="0" memberValueDatatype="130" unbalanced="0"/>
    <cacheHierarchy uniqueName="[SM_Survey_Data 1].[Platform]" caption="Platform" attribute="1" defaultMemberUniqueName="[SM_Survey_Data 1].[Platform].[All]" allUniqueName="[SM_Survey_Data 1].[Platform].[All]" dimensionUniqueName="[SM_Survey_Data 1]" displayFolder="" count="0" memberValueDatatype="130" unbalanced="0"/>
    <cacheHierarchy uniqueName="[SM_Survey_Data 1].[Count]" caption="Count" attribute="1" defaultMemberUniqueName="[SM_Survey_Data 1].[Count].[All]" allUniqueName="[SM_Survey_Data 1].[Count].[All]" dimensionUniqueName="[SM_Survey_Data 1]" displayFolder="" count="0" memberValueDatatype="20" unbalanced="0"/>
    <cacheHierarchy uniqueName="[SM_Survey_Data 1].[Column1]" caption="Column1" attribute="1" defaultMemberUniqueName="[SM_Survey_Data 1].[Column1].[All]" allUniqueName="[SM_Survey_Data 1].[Column1].[All]" dimensionUniqueName="[SM_Survey_Data 1]" displayFolder="" count="0" memberValueDatatype="130" unbalanced="0"/>
    <cacheHierarchy uniqueName="[SURVEY_DATAA].[Name]" caption="Name" attribute="1" defaultMemberUniqueName="[SURVEY_DATAA].[Name].[All]" allUniqueName="[SURVEY_DATAA].[Name].[All]" dimensionUniqueName="[SURVEY_DATAA]" displayFolder="" count="0" memberValueDatatype="130" unbalanced="0"/>
    <cacheHierarchy uniqueName="[SURVEY_DATAA].[Gender]" caption="Gender" attribute="1" defaultMemberUniqueName="[SURVEY_DATAA].[Gender].[All]" allUniqueName="[SURVEY_DATAA].[Gender].[All]" dimensionUniqueName="[SURVEY_DATAA]" displayFolder="" count="2" memberValueDatatype="130" unbalanced="0"/>
    <cacheHierarchy uniqueName="[SURVEY_DATAA].[Age]" caption="Age" attribute="1" defaultMemberUniqueName="[SURVEY_DATAA].[Age].[All]" allUniqueName="[SURVEY_DATAA].[Age].[All]" dimensionUniqueName="[SURVEY_DATAA]" displayFolder="" count="0" memberValueDatatype="130" unbalanced="0"/>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0"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fieldsUsage count="2">
        <fieldUsage x="-1"/>
        <fieldUsage x="3"/>
      </fieldsUsage>
    </cacheHierarchy>
    <cacheHierarchy uniqueName="[SURVEY_DATAA].[Hours per Day]" caption="Hours per Day" attribute="1" defaultMemberUniqueName="[SURVEY_DATAA].[Hours per Day].[All]" allUniqueName="[SURVEY_DATAA].[Hours per Day].[All]" dimensionUniqueName="[SURVEY_DATAA]" displayFolder="" count="2" memberValueDatatype="20" unbalanced="0">
      <fieldsUsage count="2">
        <fieldUsage x="-1"/>
        <fieldUsage x="0"/>
      </fieldsUsage>
    </cacheHierarchy>
    <cacheHierarchy uniqueName="[SURVEY_DATAA].[Purpose]" caption="Purpose" attribute="1" defaultMemberUniqueName="[SURVEY_DATAA].[Purpose].[All]" allUniqueName="[SURVEY_DATAA].[Purpose].[All]" dimensionUniqueName="[SURVEY_DATAA]" displayFolder="" count="2" memberValueDatatype="130" unbalanced="0">
      <fieldsUsage count="2">
        <fieldUsage x="-1"/>
        <fieldUsage x="1"/>
      </fieldsUsage>
    </cacheHierarchy>
    <cacheHierarchy uniqueName="[SURVEY_DATAA].[Comment]" caption="Comment" attribute="1" defaultMemberUniqueName="[SURVEY_DATAA].[Comment].[All]" allUniqueName="[SURVEY_DATAA].[Comment].[All]" dimensionUniqueName="[SURVEY_DATAA]" displayFolder="" count="0" memberValueDatatype="130" unbalanced="0"/>
    <cacheHierarchy uniqueName="[Measures].[Total_Respondents]" caption="Total_Respondents" measure="1" displayFolder="" measureGroup="SURVEY_DATAA" count="0" oneField="1">
      <fieldsUsage count="1">
        <fieldUsage x="2"/>
      </fieldsUsage>
    </cacheHierarchy>
    <cacheHierarchy uniqueName="[Measures].[Average_Daily_Hours]" caption="Average_Daily_Hours" measure="1" displayFolder="" measureGroup="SURVEY_DATAA" count="0"/>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SM_Survey_Data 1" uniqueName="[SM_Survey_Data 1]" caption="SM_Survey_Data 1"/>
    <dimension name="SURVEY_DATAA" uniqueName="[SURVEY_DATAA]" caption="SURVEY_DATAA"/>
  </dimensions>
  <measureGroups count="2">
    <measureGroup name="SM_Survey_Data 1" caption="SM_Survey_Data 1"/>
    <measureGroup name="SURVEY_DATAA" caption="SURVEY_DATA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i Hassan Mashi" refreshedDate="45954.711585300924" createdVersion="3" refreshedVersion="8" minRefreshableVersion="3" recordCount="0" supportSubquery="1" supportAdvancedDrill="1" xr:uid="{52CBB195-EDB2-41BC-A78E-A2C266AEFA5C}">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SM_Survey_Data 1].[Name]" caption="Name" attribute="1" defaultMemberUniqueName="[SM_Survey_Data 1].[Name].[All]" allUniqueName="[SM_Survey_Data 1].[Name].[All]" dimensionUniqueName="[SM_Survey_Data 1]" displayFolder="" count="0" memberValueDatatype="130" unbalanced="0"/>
    <cacheHierarchy uniqueName="[SM_Survey_Data 1].[Gender]" caption="Gender" attribute="1" defaultMemberUniqueName="[SM_Survey_Data 1].[Gender].[All]" allUniqueName="[SM_Survey_Data 1].[Gender].[All]" dimensionUniqueName="[SM_Survey_Data 1]" displayFolder="" count="0" memberValueDatatype="130" unbalanced="0"/>
    <cacheHierarchy uniqueName="[SM_Survey_Data 1].[Age]" caption="Age" attribute="1" defaultMemberUniqueName="[SM_Survey_Data 1].[Age].[All]" allUniqueName="[SM_Survey_Data 1].[Age].[All]" dimensionUniqueName="[SM_Survey_Data 1]" displayFolder="" count="0" memberValueDatatype="130" unbalanced="0"/>
    <cacheHierarchy uniqueName="[SM_Survey_Data 1].[Regularly used Social Media Platforms]" caption="Regularly used Social Media Platforms" attribute="1" defaultMemberUniqueName="[SM_Survey_Data 1].[Regularly used Social Media Platforms].[All]" allUniqueName="[SM_Survey_Data 1].[Regularly used Social Media Platforms].[All]" dimensionUniqueName="[SM_Survey_Data 1]" displayFolder="" count="0" memberValueDatatype="130" unbalanced="0"/>
    <cacheHierarchy uniqueName="[SM_Survey_Data 1].[Most Used  Platform]" caption="Most Used  Platform" attribute="1" defaultMemberUniqueName="[SM_Survey_Data 1].[Most Used  Platform].[All]" allUniqueName="[SM_Survey_Data 1].[Most Used  Platform].[All]" dimensionUniqueName="[SM_Survey_Data 1]" displayFolder="" count="0" memberValueDatatype="130" unbalanced="0"/>
    <cacheHierarchy uniqueName="[SM_Survey_Data 1].[Hours per Day]" caption="Hours per Day" attribute="1" defaultMemberUniqueName="[SM_Survey_Data 1].[Hours per Day].[All]" allUniqueName="[SM_Survey_Data 1].[Hours per Day].[All]" dimensionUniqueName="[SM_Survey_Data 1]" displayFolder="" count="0" memberValueDatatype="20" unbalanced="0"/>
    <cacheHierarchy uniqueName="[SM_Survey_Data 1].[Purpose]" caption="Purpose" attribute="1" defaultMemberUniqueName="[SM_Survey_Data 1].[Purpose].[All]" allUniqueName="[SM_Survey_Data 1].[Purpose].[All]" dimensionUniqueName="[SM_Survey_Data 1]" displayFolder="" count="0" memberValueDatatype="130" unbalanced="0"/>
    <cacheHierarchy uniqueName="[SM_Survey_Data 1].[Comment]" caption="Comment" attribute="1" defaultMemberUniqueName="[SM_Survey_Data 1].[Comment].[All]" allUniqueName="[SM_Survey_Data 1].[Comment].[All]" dimensionUniqueName="[SM_Survey_Data 1]" displayFolder="" count="0" memberValueDatatype="130" unbalanced="0"/>
    <cacheHierarchy uniqueName="[SM_Survey_Data 1].[Platform]" caption="Platform" attribute="1" defaultMemberUniqueName="[SM_Survey_Data 1].[Platform].[All]" allUniqueName="[SM_Survey_Data 1].[Platform].[All]" dimensionUniqueName="[SM_Survey_Data 1]" displayFolder="" count="0" memberValueDatatype="130" unbalanced="0"/>
    <cacheHierarchy uniqueName="[SM_Survey_Data 1].[Count]" caption="Count" attribute="1" defaultMemberUniqueName="[SM_Survey_Data 1].[Count].[All]" allUniqueName="[SM_Survey_Data 1].[Count].[All]" dimensionUniqueName="[SM_Survey_Data 1]" displayFolder="" count="0" memberValueDatatype="20" unbalanced="0"/>
    <cacheHierarchy uniqueName="[SM_Survey_Data 1].[Column1]" caption="Column1" attribute="1" defaultMemberUniqueName="[SM_Survey_Data 1].[Column1].[All]" allUniqueName="[SM_Survey_Data 1].[Column1].[All]" dimensionUniqueName="[SM_Survey_Data 1]" displayFolder="" count="0" memberValueDatatype="130" unbalanced="0"/>
    <cacheHierarchy uniqueName="[SURVEY_DATAA].[Name]" caption="Name" attribute="1" defaultMemberUniqueName="[SURVEY_DATAA].[Name].[All]" allUniqueName="[SURVEY_DATAA].[Name].[All]" dimensionUniqueName="[SURVEY_DATAA]" displayFolder="" count="0" memberValueDatatype="130" unbalanced="0"/>
    <cacheHierarchy uniqueName="[SURVEY_DATAA].[Gender]" caption="Gender" attribute="1" defaultMemberUniqueName="[SURVEY_DATAA].[Gender].[All]" allUniqueName="[SURVEY_DATAA].[Gender].[All]" dimensionUniqueName="[SURVEY_DATAA]" displayFolder="" count="2" memberValueDatatype="130" unbalanced="0"/>
    <cacheHierarchy uniqueName="[SURVEY_DATAA].[Age]" caption="Age" attribute="1" defaultMemberUniqueName="[SURVEY_DATAA].[Age].[All]" allUniqueName="[SURVEY_DATAA].[Age].[All]" dimensionUniqueName="[SURVEY_DATAA]" displayFolder="" count="0" memberValueDatatype="130" unbalanced="0"/>
    <cacheHierarchy uniqueName="[SURVEY_DATAA].[Regularly used Social Media Platforms]" caption="Regularly used Social Media Platforms" attribute="1" defaultMemberUniqueName="[SURVEY_DATAA].[Regularly used Social Media Platforms].[All]" allUniqueName="[SURVEY_DATAA].[Regularly used Social Media Platforms].[All]" dimensionUniqueName="[SURVEY_DATAA]" displayFolder="" count="0" memberValueDatatype="130" unbalanced="0"/>
    <cacheHierarchy uniqueName="[SURVEY_DATAA].[Most Used  Platform]" caption="Most Used  Platform" attribute="1" defaultMemberUniqueName="[SURVEY_DATAA].[Most Used  Platform].[All]" allUniqueName="[SURVEY_DATAA].[Most Used  Platform].[All]" dimensionUniqueName="[SURVEY_DATAA]" displayFolder="" count="2" memberValueDatatype="130" unbalanced="0"/>
    <cacheHierarchy uniqueName="[SURVEY_DATAA].[Hours per Day]" caption="Hours per Day" attribute="1" defaultMemberUniqueName="[SURVEY_DATAA].[Hours per Day].[All]" allUniqueName="[SURVEY_DATAA].[Hours per Day].[All]" dimensionUniqueName="[SURVEY_DATAA]" displayFolder="" count="0" memberValueDatatype="20" unbalanced="0"/>
    <cacheHierarchy uniqueName="[SURVEY_DATAA].[Purpose]" caption="Purpose" attribute="1" defaultMemberUniqueName="[SURVEY_DATAA].[Purpose].[All]" allUniqueName="[SURVEY_DATAA].[Purpose].[All]" dimensionUniqueName="[SURVEY_DATAA]" displayFolder="" count="0" memberValueDatatype="130" unbalanced="0"/>
    <cacheHierarchy uniqueName="[SURVEY_DATAA].[Comment]" caption="Comment" attribute="1" defaultMemberUniqueName="[SURVEY_DATAA].[Comment].[All]" allUniqueName="[SURVEY_DATAA].[Comment].[All]" dimensionUniqueName="[SURVEY_DATAA]" displayFolder="" count="0" memberValueDatatype="130" unbalanced="0"/>
    <cacheHierarchy uniqueName="[Measures].[Total_Respondents]" caption="Total_Respondents" measure="1" displayFolder="" measureGroup="SURVEY_DATAA" count="0"/>
    <cacheHierarchy uniqueName="[Measures].[Average_Daily_Hours]" caption="Average_Daily_Hours" measure="1" displayFolder="" measureGroup="SURVEY_DATAA" count="0"/>
    <cacheHierarchy uniqueName="[Measures].[Max_Daily_Hours]" caption="Max_Daily_Hours" measure="1" displayFolder="" measureGroup="SURVEY_DATAA" count="0"/>
    <cacheHierarchy uniqueName="[Measures].[__XL_Count SM_Survey_Data 1]" caption="__XL_Count SM_Survey_Data 1" measure="1" displayFolder="" measureGroup="SM_Survey_Data 1" count="0" hidden="1"/>
    <cacheHierarchy uniqueName="[Measures].[__XL_Count Table4]" caption="__XL_Count Table4" measure="1" displayFolder="" measureGroup="SURVEY_DATAA" count="0" hidden="1"/>
    <cacheHierarchy uniqueName="[Measures].[__No measures defined]" caption="__No measures defined" measure="1" displayFolder="" count="0" hidden="1"/>
    <cacheHierarchy uniqueName="[Measures].[Count of Gender]" caption="Count of Gender" measure="1" displayFolder="" measureGroup="SURVEY_DATAA" count="0" hidden="1">
      <extLst>
        <ext xmlns:x15="http://schemas.microsoft.com/office/spreadsheetml/2010/11/main" uri="{B97F6D7D-B522-45F9-BDA1-12C45D357490}">
          <x15:cacheHierarchy aggregatedColumn="12"/>
        </ext>
      </extLst>
    </cacheHierarchy>
    <cacheHierarchy uniqueName="[Measures].[Count of Purpose]" caption="Count of Purpose" measure="1" displayFolder="" measureGroup="SURVEY_DATAA" count="0" hidden="1">
      <extLst>
        <ext xmlns:x15="http://schemas.microsoft.com/office/spreadsheetml/2010/11/main" uri="{B97F6D7D-B522-45F9-BDA1-12C45D357490}">
          <x15:cacheHierarchy aggregatedColumn="17"/>
        </ext>
      </extLst>
    </cacheHierarchy>
    <cacheHierarchy uniqueName="[Measures].[Count of Age]" caption="Count of Age" measure="1" displayFolder="" measureGroup="SURVEY_DATAA" count="0" hidden="1">
      <extLst>
        <ext xmlns:x15="http://schemas.microsoft.com/office/spreadsheetml/2010/11/main" uri="{B97F6D7D-B522-45F9-BDA1-12C45D357490}">
          <x15:cacheHierarchy aggregatedColumn="13"/>
        </ext>
      </extLst>
    </cacheHierarchy>
    <cacheHierarchy uniqueName="[Measures].[Count of Most Used  Platform]" caption="Count of Most Used  Platform" measure="1" displayFolder="" measureGroup="SURVEY_DATAA" count="0" hidden="1">
      <extLst>
        <ext xmlns:x15="http://schemas.microsoft.com/office/spreadsheetml/2010/11/main" uri="{B97F6D7D-B522-45F9-BDA1-12C45D357490}">
          <x15:cacheHierarchy aggregatedColumn="15"/>
        </ext>
      </extLst>
    </cacheHierarchy>
    <cacheHierarchy uniqueName="[Measures].[Count of Name]" caption="Count of Name" measure="1" displayFolder="" measureGroup="SURVEY_DATA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4486924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5669C-8A0A-492F-94E3-CED7D24496D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B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_DATA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440F41-841B-4E37-9A3D-129CD2D80EA8}" name="PivotTable16" cacheId="6" applyNumberFormats="0" applyBorderFormats="0" applyFontFormats="0" applyPatternFormats="0" applyAlignmentFormats="0" applyWidthHeightFormats="1" dataCaption="Values" tag="984f9480-b4e6-4089-9038-ba2f6a2a4593" updatedVersion="8" minRefreshableVersion="3" useAutoFormatting="1" subtotalHiddenItems="1" rowGrandTotals="0" colGrandTotals="0" itemPrintTitles="1" createdVersion="8" indent="0" outline="1" outlineData="1" multipleFieldFilters="0" chartFormat="5">
  <location ref="A21:B2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2">
    <chartFormat chart="4" format="4"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_DATA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1D37C-9C42-4734-9BA6-DA3275DC1CAE}" name="PivotTable17" cacheId="7" applyNumberFormats="0" applyBorderFormats="0" applyFontFormats="0" applyPatternFormats="0" applyAlignmentFormats="0" applyWidthHeightFormats="1" dataCaption="Values" tag="04364b47-7515-41e1-b548-95b66cabbd5e" updatedVersion="8" minRefreshableVersion="3" useAutoFormatting="1" subtotalHiddenItems="1" rowGrandTotals="0" colGrandTotals="0" itemPrintTitles="1" createdVersion="8" indent="0" outline="1" outlineData="1" multipleFieldFilters="0" chartFormat="10">
  <location ref="A26:B31"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5">
    <i>
      <x/>
    </i>
    <i>
      <x v="1"/>
    </i>
    <i>
      <x v="2"/>
    </i>
    <i>
      <x v="3"/>
    </i>
    <i>
      <x v="4"/>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_DATA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045602-4A31-4D82-876C-4F8D407007D4}" name="PivotTable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51:E56"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4">
    <i>
      <x/>
    </i>
    <i>
      <x v="1"/>
    </i>
    <i>
      <x v="2"/>
    </i>
    <i>
      <x v="3"/>
    </i>
  </colItems>
  <dataFields count="1">
    <dataField fld="2" subtotal="count" baseField="0" baseItem="0"/>
  </dataFields>
  <chartFormats count="5">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_DATA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449A0A-B2E8-4041-9E48-D878FC603D84}" name="PivotTable15" cacheId="5" applyNumberFormats="0" applyBorderFormats="0" applyFontFormats="0" applyPatternFormats="0" applyAlignmentFormats="0" applyWidthHeightFormats="1" dataCaption="Values" tag="1e3c6041-8bb9-4755-b586-d2d299fea12b" updatedVersion="8" minRefreshableVersion="3" useAutoFormatting="1" subtotalHiddenItems="1" rowGrandTotals="0" colGrandTotals="0" itemPrintTitles="1" createdVersion="8" indent="0" outline="1" outlineData="1" multipleFieldFilters="0" chartFormat="6">
  <location ref="A14:B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_DATA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7B90C0-32C4-4248-A1FA-B5147E0696DB}" name="PivotTable13" cacheId="4" applyNumberFormats="0" applyBorderFormats="0" applyFontFormats="0" applyPatternFormats="0" applyAlignmentFormats="0" applyWidthHeightFormats="1" dataCaption="Values" tag="298657cf-c41b-420c-9988-962e517cfeeb" updatedVersion="8" minRefreshableVersion="3" useAutoFormatting="1" subtotalHiddenItems="1" rowGrandTotals="0" colGrandTotals="0" itemPrintTitles="1" createdVersion="8" indent="0" outline="1" outlineData="1" multipleFieldFilters="0" chartFormat="3">
  <location ref="A1:B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_DATA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9FAB5E-D30C-465B-9CEB-1F9485107906}" name="PivotTable18" cacheId="2" applyNumberFormats="0" applyBorderFormats="0" applyFontFormats="0" applyPatternFormats="0" applyAlignmentFormats="0" applyWidthHeightFormats="1" dataCaption="Values" tag="a0c6d1d7-bd43-4e16-a7ce-6f9f7c719d78" updatedVersion="8" minRefreshableVersion="3" useAutoFormatting="1" subtotalHiddenItems="1" rowGrandTotals="0" colGrandTotals="0" itemPrintTitles="1" createdVersion="8" indent="0" outline="1" outlineData="1" multipleFieldFilters="0" chartFormat="6">
  <location ref="A38:C4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5">
    <i>
      <x/>
    </i>
    <i>
      <x v="1"/>
    </i>
    <i>
      <x v="2"/>
    </i>
    <i>
      <x v="3"/>
    </i>
    <i>
      <x v="4"/>
    </i>
  </rowItems>
  <colFields count="1">
    <field x="0"/>
  </colFields>
  <colItems count="2">
    <i>
      <x/>
    </i>
    <i>
      <x v="1"/>
    </i>
  </colItems>
  <dataFields count="1">
    <dataField fld="2" subtotal="count" baseField="0" baseItem="0"/>
  </dataFields>
  <chartFormats count="3">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RVEY_DATA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0F56E0-0705-422F-8FD3-F44332865A64}" sourceName="[SURVEY_DATAA].[Gender]">
  <pivotTables>
    <pivotTable tabId="5" name="PivotTable18"/>
    <pivotTable tabId="5" name="PivotTable1"/>
    <pivotTable tabId="5" name="PivotTable13"/>
    <pivotTable tabId="5" name="PivotTable15"/>
    <pivotTable tabId="5" name="PivotTable16"/>
    <pivotTable tabId="5" name="PivotTable17"/>
    <pivotTable tabId="5" name="PivotTable2"/>
  </pivotTables>
  <data>
    <olap pivotCacheId="448692459">
      <levels count="2">
        <level uniqueName="[SURVEY_DATAA].[Gender].[(All)]" sourceCaption="(All)" count="0"/>
        <level uniqueName="[SURVEY_DATAA].[Gender].[Gender]" sourceCaption="Gender" count="2">
          <ranges>
            <range startItem="0">
              <i n="[SURVEY_DATAA].[Gender].&amp;[Female]" c="Female"/>
              <i n="[SURVEY_DATAA].[Gender].&amp;[Male]" c="Male"/>
            </range>
          </ranges>
        </level>
      </levels>
      <selections count="1">
        <selection n="[SURVEY_DATA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_Platform" xr10:uid="{A403B4D5-1AEF-43C6-81EB-95B1744A20AC}" sourceName="[SURVEY_DATAA].[Most Used  Platform]">
  <pivotTables>
    <pivotTable tabId="5" name="PivotTable18"/>
    <pivotTable tabId="5" name="PivotTable1"/>
    <pivotTable tabId="5" name="PivotTable13"/>
    <pivotTable tabId="5" name="PivotTable15"/>
    <pivotTable tabId="5" name="PivotTable16"/>
    <pivotTable tabId="5" name="PivotTable17"/>
    <pivotTable tabId="5" name="PivotTable2"/>
  </pivotTables>
  <data>
    <olap pivotCacheId="448692459">
      <levels count="2">
        <level uniqueName="[SURVEY_DATAA].[Most Used  Platform].[(All)]" sourceCaption="(All)" count="0"/>
        <level uniqueName="[SURVEY_DATAA].[Most Used  Platform].[Most Used  Platform]" sourceCaption="Most Used  Platform" count="5">
          <ranges>
            <range startItem="0">
              <i n="[SURVEY_DATAA].[Most Used  Platform].&amp;[Facebook]" c="Facebook"/>
              <i n="[SURVEY_DATAA].[Most Used  Platform].&amp;[Instagram]" c="Instagram"/>
              <i n="[SURVEY_DATAA].[Most Used  Platform].&amp;[Snapchat]" c="Snapchat"/>
              <i n="[SURVEY_DATAA].[Most Used  Platform].&amp;[TikTok]" c="TikTok"/>
              <i n="[SURVEY_DATAA].[Most Used  Platform].&amp;[WhatsApp]" c="WhatsApp"/>
            </range>
          </ranges>
        </level>
      </levels>
      <selections count="1">
        <selection n="[SURVEY_DATAA].[Most Used  Platfor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A1EBBB3-D051-4A75-A279-7EF29FBA9A04}" cache="Slicer_Gender" caption="Gender" columnCount="2" level="1" style="SlicerStyleLight1 2" rowHeight="241300"/>
  <slicer name="Most Used  Platform" xr10:uid="{E756FA4D-1057-42AC-BEC1-4C667E78FDDD}" cache="Slicer_Most_Used__Platform" caption="Most Used  Platform" columnCount="5"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33456D-57BD-492C-8BAB-6E442B1C70CD}" name="Table4" displayName="Table4" ref="A1:H11" totalsRowShown="0" headerRowDxfId="11" dataDxfId="9" headerRowBorderDxfId="10" tableBorderDxfId="8" headerRowCellStyle="Normal 2" dataCellStyle="Normal 2">
  <autoFilter ref="A1:H11" xr:uid="{CE33456D-57BD-492C-8BAB-6E442B1C70CD}"/>
  <tableColumns count="8">
    <tableColumn id="1" xr3:uid="{7AE1263C-A42A-4E56-AB74-848D1AFC13AC}" name="Name" dataDxfId="7" dataCellStyle="Normal 2"/>
    <tableColumn id="2" xr3:uid="{F5A7B61A-81DF-463A-88C8-9E52FADA7135}" name="Gender" dataDxfId="6" dataCellStyle="Normal 2"/>
    <tableColumn id="3" xr3:uid="{08D57BB6-9C7C-4F0C-B9F8-F1328896ECF3}" name="Age" dataDxfId="5" dataCellStyle="Normal 2"/>
    <tableColumn id="4" xr3:uid="{2C8B4DB1-6133-4750-9C8E-9169134708BA}" name="Regularly used Social Media Platforms" dataDxfId="4" dataCellStyle="Normal 2"/>
    <tableColumn id="5" xr3:uid="{31C86700-E4F5-46E7-9E47-85B3C58B0599}" name="Most Used  Platform" dataDxfId="3" dataCellStyle="Normal 2"/>
    <tableColumn id="6" xr3:uid="{350CDF45-BDAB-4C9C-ABD7-7C1A76737073}" name="Hours per Day" dataDxfId="2" dataCellStyle="Normal 2"/>
    <tableColumn id="7" xr3:uid="{45A6A626-A71C-4781-8386-6389665ECC49}" name="Purpose" dataDxfId="1" dataCellStyle="Normal 2"/>
    <tableColumn id="8" xr3:uid="{F8976793-177B-4CF0-A0E7-7B742C7B8F2E}" name="Comment"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99B0-E62A-4D63-8371-CD3E52948B7A}">
  <dimension ref="A1:H22"/>
  <sheetViews>
    <sheetView workbookViewId="0">
      <selection activeCell="D16" sqref="D16"/>
    </sheetView>
  </sheetViews>
  <sheetFormatPr defaultRowHeight="14.5"/>
  <cols>
    <col min="1" max="1" width="24.90625" bestFit="1" customWidth="1"/>
    <col min="2" max="2" width="9.54296875" customWidth="1"/>
    <col min="3" max="3" width="6.26953125" customWidth="1"/>
    <col min="4" max="4" width="56.1796875" bestFit="1" customWidth="1"/>
    <col min="5" max="5" width="21.6328125" customWidth="1"/>
    <col min="6" max="6" width="15.7265625" customWidth="1"/>
    <col min="7" max="7" width="13" bestFit="1" customWidth="1"/>
    <col min="8" max="8" width="81.6328125" bestFit="1" customWidth="1"/>
  </cols>
  <sheetData>
    <row r="1" spans="1:8" ht="15.5">
      <c r="A1" s="11" t="s">
        <v>62</v>
      </c>
      <c r="B1" s="11" t="s">
        <v>63</v>
      </c>
      <c r="C1" s="11" t="s">
        <v>64</v>
      </c>
      <c r="D1" s="11" t="s">
        <v>65</v>
      </c>
      <c r="E1" s="11" t="s">
        <v>67</v>
      </c>
      <c r="F1" s="11" t="s">
        <v>68</v>
      </c>
      <c r="G1" s="11" t="s">
        <v>69</v>
      </c>
      <c r="H1" s="12" t="s">
        <v>66</v>
      </c>
    </row>
    <row r="2" spans="1:8">
      <c r="A2" s="7" t="s">
        <v>26</v>
      </c>
      <c r="B2" s="7" t="s">
        <v>27</v>
      </c>
      <c r="C2" s="7" t="s">
        <v>28</v>
      </c>
      <c r="D2" s="7" t="s">
        <v>29</v>
      </c>
      <c r="E2" s="7" t="s">
        <v>30</v>
      </c>
      <c r="F2" s="7">
        <v>3</v>
      </c>
      <c r="G2" s="7" t="s">
        <v>31</v>
      </c>
      <c r="H2" s="9"/>
    </row>
    <row r="3" spans="1:8">
      <c r="A3" s="8" t="s">
        <v>32</v>
      </c>
      <c r="B3" s="8" t="s">
        <v>27</v>
      </c>
      <c r="C3" s="8" t="s">
        <v>28</v>
      </c>
      <c r="D3" s="8" t="s">
        <v>29</v>
      </c>
      <c r="E3" s="8" t="s">
        <v>30</v>
      </c>
      <c r="F3" s="8">
        <v>3</v>
      </c>
      <c r="G3" s="8" t="s">
        <v>33</v>
      </c>
      <c r="H3" s="10" t="s">
        <v>34</v>
      </c>
    </row>
    <row r="4" spans="1:8">
      <c r="A4" s="7" t="s">
        <v>35</v>
      </c>
      <c r="B4" s="7" t="s">
        <v>27</v>
      </c>
      <c r="C4" s="7" t="s">
        <v>28</v>
      </c>
      <c r="D4" s="7" t="s">
        <v>36</v>
      </c>
      <c r="E4" s="7" t="s">
        <v>37</v>
      </c>
      <c r="F4" s="7">
        <v>4</v>
      </c>
      <c r="G4" s="7" t="s">
        <v>38</v>
      </c>
      <c r="H4" s="9"/>
    </row>
    <row r="5" spans="1:8">
      <c r="A5" s="8" t="s">
        <v>39</v>
      </c>
      <c r="B5" s="8" t="s">
        <v>40</v>
      </c>
      <c r="C5" s="8" t="s">
        <v>28</v>
      </c>
      <c r="D5" s="8" t="s">
        <v>41</v>
      </c>
      <c r="E5" s="8" t="s">
        <v>42</v>
      </c>
      <c r="F5" s="8">
        <v>3</v>
      </c>
      <c r="G5" s="8" t="s">
        <v>33</v>
      </c>
      <c r="H5" s="10"/>
    </row>
    <row r="6" spans="1:8">
      <c r="A6" s="7" t="s">
        <v>43</v>
      </c>
      <c r="B6" s="7" t="s">
        <v>27</v>
      </c>
      <c r="C6" s="7" t="s">
        <v>28</v>
      </c>
      <c r="D6" s="7" t="s">
        <v>44</v>
      </c>
      <c r="E6" s="7" t="s">
        <v>45</v>
      </c>
      <c r="F6" s="7">
        <v>5</v>
      </c>
      <c r="G6" s="7" t="s">
        <v>33</v>
      </c>
      <c r="H6" s="9" t="s">
        <v>46</v>
      </c>
    </row>
    <row r="7" spans="1:8">
      <c r="A7" s="8" t="s">
        <v>47</v>
      </c>
      <c r="B7" s="8" t="s">
        <v>40</v>
      </c>
      <c r="C7" s="8" t="s">
        <v>28</v>
      </c>
      <c r="D7" s="8" t="s">
        <v>48</v>
      </c>
      <c r="E7" s="8" t="s">
        <v>42</v>
      </c>
      <c r="F7" s="8">
        <v>5</v>
      </c>
      <c r="G7" s="8" t="s">
        <v>33</v>
      </c>
      <c r="H7" s="10" t="s">
        <v>49</v>
      </c>
    </row>
    <row r="8" spans="1:8">
      <c r="A8" s="7" t="s">
        <v>50</v>
      </c>
      <c r="B8" s="7" t="s">
        <v>40</v>
      </c>
      <c r="C8" s="7" t="s">
        <v>28</v>
      </c>
      <c r="D8" s="7" t="s">
        <v>45</v>
      </c>
      <c r="E8" s="7" t="s">
        <v>45</v>
      </c>
      <c r="F8" s="7">
        <v>2</v>
      </c>
      <c r="G8" s="7" t="s">
        <v>33</v>
      </c>
      <c r="H8" s="9" t="s">
        <v>51</v>
      </c>
    </row>
    <row r="9" spans="1:8">
      <c r="A9" s="7" t="s">
        <v>52</v>
      </c>
      <c r="B9" s="7" t="s">
        <v>27</v>
      </c>
      <c r="C9" s="7" t="s">
        <v>53</v>
      </c>
      <c r="D9" s="7" t="s">
        <v>54</v>
      </c>
      <c r="E9" s="7" t="s">
        <v>55</v>
      </c>
      <c r="F9" s="7">
        <v>5</v>
      </c>
      <c r="G9" s="7" t="s">
        <v>56</v>
      </c>
      <c r="H9" s="9" t="s">
        <v>57</v>
      </c>
    </row>
    <row r="10" spans="1:8">
      <c r="A10" s="8" t="s">
        <v>58</v>
      </c>
      <c r="B10" s="8" t="s">
        <v>27</v>
      </c>
      <c r="C10" s="8" t="s">
        <v>53</v>
      </c>
      <c r="D10" s="8" t="s">
        <v>55</v>
      </c>
      <c r="E10" s="8" t="s">
        <v>55</v>
      </c>
      <c r="F10" s="8">
        <v>2</v>
      </c>
      <c r="G10" s="8" t="s">
        <v>38</v>
      </c>
      <c r="H10" s="10" t="s">
        <v>59</v>
      </c>
    </row>
    <row r="11" spans="1:8">
      <c r="A11" s="7" t="s">
        <v>60</v>
      </c>
      <c r="B11" s="7" t="s">
        <v>27</v>
      </c>
      <c r="C11" s="7" t="s">
        <v>28</v>
      </c>
      <c r="D11" s="7" t="s">
        <v>61</v>
      </c>
      <c r="E11" s="7" t="s">
        <v>55</v>
      </c>
      <c r="F11" s="7">
        <v>3</v>
      </c>
      <c r="G11" s="7" t="s">
        <v>56</v>
      </c>
      <c r="H11" s="9"/>
    </row>
    <row r="13" spans="1:8">
      <c r="A13" t="s">
        <v>73</v>
      </c>
      <c r="B13" s="13">
        <f>COUNT(Table4[Name])</f>
        <v>0</v>
      </c>
    </row>
    <row r="15" spans="1:8">
      <c r="A15" t="s">
        <v>74</v>
      </c>
      <c r="B15">
        <f>COUNTIF(Table4[Gender], "Male")</f>
        <v>7</v>
      </c>
    </row>
    <row r="17" spans="1:2">
      <c r="A17" t="s">
        <v>75</v>
      </c>
      <c r="B17">
        <f>AVERAGE(Table4[Hours per Day])</f>
        <v>3.5</v>
      </c>
    </row>
    <row r="22" spans="1:2">
      <c r="B22"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C004-31CD-47A6-9D99-2DF6B7D790CE}">
  <dimension ref="A1:D9"/>
  <sheetViews>
    <sheetView workbookViewId="0">
      <selection activeCell="C5" sqref="C5"/>
    </sheetView>
  </sheetViews>
  <sheetFormatPr defaultRowHeight="14.5"/>
  <cols>
    <col min="3" max="4" width="10.453125" bestFit="1" customWidth="1"/>
  </cols>
  <sheetData>
    <row r="1" spans="1:4">
      <c r="A1" s="1" t="s">
        <v>0</v>
      </c>
      <c r="B1" s="1" t="s">
        <v>1</v>
      </c>
      <c r="C1" s="1" t="s">
        <v>2</v>
      </c>
      <c r="D1" s="1" t="s">
        <v>3</v>
      </c>
    </row>
    <row r="2" spans="1:4">
      <c r="A2" t="s">
        <v>4</v>
      </c>
      <c r="B2" t="s">
        <v>6</v>
      </c>
      <c r="C2" s="2">
        <v>45951</v>
      </c>
      <c r="D2" s="2">
        <v>45951</v>
      </c>
    </row>
    <row r="3" spans="1:4">
      <c r="A3" t="s">
        <v>5</v>
      </c>
      <c r="B3" t="s">
        <v>8</v>
      </c>
      <c r="C3" s="2">
        <v>45591</v>
      </c>
      <c r="D3" s="2">
        <v>45950</v>
      </c>
    </row>
    <row r="4" spans="1:4">
      <c r="A4" t="s">
        <v>5</v>
      </c>
      <c r="B4" t="s">
        <v>13</v>
      </c>
      <c r="C4" s="2">
        <v>45956</v>
      </c>
      <c r="D4" s="2">
        <v>45586</v>
      </c>
    </row>
    <row r="5" spans="1:4">
      <c r="A5" t="s">
        <v>7</v>
      </c>
      <c r="B5" t="s">
        <v>14</v>
      </c>
      <c r="C5" s="2"/>
      <c r="D5" s="2">
        <v>45587</v>
      </c>
    </row>
    <row r="6" spans="1:4">
      <c r="A6" t="s">
        <v>9</v>
      </c>
      <c r="D6" s="2">
        <v>45590</v>
      </c>
    </row>
    <row r="7" spans="1:4">
      <c r="A7" t="s">
        <v>10</v>
      </c>
    </row>
    <row r="8" spans="1:4">
      <c r="A8" t="s">
        <v>11</v>
      </c>
    </row>
    <row r="9" spans="1:4">
      <c r="A9" t="s">
        <v>12</v>
      </c>
    </row>
  </sheetData>
  <phoneticPr fontId="2" type="noConversion"/>
  <dataValidations count="8">
    <dataValidation type="custom" allowBlank="1" showInputMessage="1" showErrorMessage="1" sqref="A1 A21:A1048576" xr:uid="{7FBA2D54-CAEB-4BD9-B334-4763D96DFAFA}">
      <formula1>AND(LEFT(A1,3)="ABC",ISNUMBER(VALUE(MID(A1,4,4))),LEN(A1)=7)</formula1>
    </dataValidation>
    <dataValidation type="custom" allowBlank="1" showInputMessage="1" showErrorMessage="1" sqref="B1 B14:B1048576" xr:uid="{D83A7737-9E34-4662-B735-0C5A31AE5CC8}">
      <formula1>AND(LEFT(A1,3)="ABC", ISNUMBER(VALUE(RIGHT(A1,4))))</formula1>
    </dataValidation>
    <dataValidation type="custom" allowBlank="1" showInputMessage="1" showErrorMessage="1" sqref="G1:G1048576" xr:uid="{DCD30B47-D2CB-4EED-AB80-AE6EBEA63DB4}">
      <formula1>AND(LEFT(A1,3)="ABC",ISNUMBER(VALUE(MID(A1,4,4))),LEN(A1)=7)</formula1>
    </dataValidation>
    <dataValidation type="custom" allowBlank="1" showInputMessage="1" showErrorMessage="1" sqref="A2:A20" xr:uid="{C6949CF6-77AC-4DC8-9CA1-13638DB27F16}">
      <formula1>AND(ISNUMBER(VALUE(MID(A2,2,4))),LEN(A2)=5,ISTEXT(LEFT(A2,1)))</formula1>
    </dataValidation>
    <dataValidation type="custom" allowBlank="1" showInputMessage="1" showErrorMessage="1" sqref="B2:B13" xr:uid="{8B248F8B-69E6-49C8-8146-BD8E1E068544}">
      <formula1>AND(ISTEXT(LEFT(B2,3)),ISNUMBER(VALUE(MID(B2,4,4))),LEN(B2)=7)</formula1>
    </dataValidation>
    <dataValidation type="date" operator="lessThanOrEqual" allowBlank="1" showInputMessage="1" showErrorMessage="1" sqref="C2:C12" xr:uid="{D2BC0679-E90F-4C83-A56F-501EE839EA49}">
      <formula1>TODAY()</formula1>
    </dataValidation>
    <dataValidation type="custom" allowBlank="1" showInputMessage="1" showErrorMessage="1" sqref="D13:D14" xr:uid="{A43B6467-D3B4-48F8-B790-9D982B92E173}">
      <formula1>AND(WEEKDAY(D13,2)&lt;=5)</formula1>
    </dataValidation>
    <dataValidation type="custom" allowBlank="1" showInputMessage="1" showErrorMessage="1" sqref="D2:D12" xr:uid="{EAD961AF-6898-4CF3-BAD3-EA445AFEDDA4}">
      <formula1>AND(WEEKDAY(D2)&lt;&gt;1, WEEKDAY(D2)&lt;&gt;7)</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163A1-2B70-4851-BBD5-E21B13FFBD18}">
  <dimension ref="A1:B19"/>
  <sheetViews>
    <sheetView tabSelected="1" topLeftCell="A8" workbookViewId="0">
      <selection activeCell="B20" sqref="B20"/>
    </sheetView>
  </sheetViews>
  <sheetFormatPr defaultRowHeight="14.5"/>
  <cols>
    <col min="1" max="1" width="23.08984375" bestFit="1" customWidth="1"/>
    <col min="2" max="2" width="12.54296875" bestFit="1" customWidth="1"/>
  </cols>
  <sheetData>
    <row r="1" spans="1:2" ht="21">
      <c r="A1" s="4" t="s">
        <v>15</v>
      </c>
    </row>
    <row r="2" spans="1:2">
      <c r="A2" t="s">
        <v>16</v>
      </c>
      <c r="B2">
        <v>10</v>
      </c>
    </row>
    <row r="3" spans="1:2">
      <c r="A3" t="s">
        <v>17</v>
      </c>
      <c r="B3">
        <v>5000</v>
      </c>
    </row>
    <row r="4" spans="1:2">
      <c r="A4" t="s">
        <v>18</v>
      </c>
      <c r="B4">
        <f>B2*B3</f>
        <v>50000</v>
      </c>
    </row>
    <row r="8" spans="1:2" ht="21">
      <c r="A8" s="4" t="s">
        <v>19</v>
      </c>
    </row>
    <row r="9" spans="1:2">
      <c r="A9" t="s">
        <v>24</v>
      </c>
      <c r="B9">
        <v>0.05</v>
      </c>
    </row>
    <row r="10" spans="1:2">
      <c r="A10" t="s">
        <v>20</v>
      </c>
      <c r="B10">
        <v>60</v>
      </c>
    </row>
    <row r="11" spans="1:2">
      <c r="A11" t="s">
        <v>21</v>
      </c>
      <c r="B11">
        <v>10000</v>
      </c>
    </row>
    <row r="12" spans="1:2">
      <c r="A12" t="s">
        <v>22</v>
      </c>
      <c r="B12" s="3">
        <f>FV(B9,B10,-B11,0,0)</f>
        <v>3535837.1788245915</v>
      </c>
    </row>
    <row r="15" spans="1:2" ht="21">
      <c r="A15" s="4" t="s">
        <v>23</v>
      </c>
    </row>
    <row r="16" spans="1:2">
      <c r="A16" t="s">
        <v>24</v>
      </c>
      <c r="B16">
        <v>0.05</v>
      </c>
    </row>
    <row r="17" spans="1:2">
      <c r="A17" t="s">
        <v>20</v>
      </c>
      <c r="B17">
        <v>60</v>
      </c>
    </row>
    <row r="18" spans="1:2">
      <c r="A18" t="s">
        <v>22</v>
      </c>
      <c r="B18">
        <v>50000</v>
      </c>
    </row>
    <row r="19" spans="1:2">
      <c r="A19" t="s">
        <v>25</v>
      </c>
      <c r="B19" s="3">
        <f>PV(B16,B17,0,-B18,0)</f>
        <v>2676.7761873247123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6390-B06B-4DC2-AEA4-068612F7C153}">
  <dimension ref="A1:E56"/>
  <sheetViews>
    <sheetView workbookViewId="0">
      <selection activeCell="Q56" sqref="Q56"/>
    </sheetView>
  </sheetViews>
  <sheetFormatPr defaultRowHeight="14.5"/>
  <cols>
    <col min="1" max="1" width="17.1796875" bestFit="1" customWidth="1"/>
    <col min="2" max="2" width="15.26953125" bestFit="1" customWidth="1"/>
    <col min="3" max="3" width="14.1796875" bestFit="1" customWidth="1"/>
    <col min="4" max="4" width="13.1796875" bestFit="1" customWidth="1"/>
    <col min="5" max="5" width="5.36328125" bestFit="1" customWidth="1"/>
    <col min="6" max="6" width="10.7265625" bestFit="1" customWidth="1"/>
  </cols>
  <sheetData>
    <row r="1" spans="1:2">
      <c r="A1" s="5" t="s">
        <v>70</v>
      </c>
      <c r="B1" t="s">
        <v>72</v>
      </c>
    </row>
    <row r="2" spans="1:2">
      <c r="A2" s="6" t="s">
        <v>40</v>
      </c>
      <c r="B2">
        <v>3</v>
      </c>
    </row>
    <row r="3" spans="1:2">
      <c r="A3" s="6" t="s">
        <v>27</v>
      </c>
      <c r="B3">
        <v>7</v>
      </c>
    </row>
    <row r="14" spans="1:2">
      <c r="A14" s="5" t="s">
        <v>70</v>
      </c>
      <c r="B14" t="s">
        <v>72</v>
      </c>
    </row>
    <row r="15" spans="1:2">
      <c r="A15" s="6" t="s">
        <v>56</v>
      </c>
      <c r="B15">
        <v>2</v>
      </c>
    </row>
    <row r="16" spans="1:2">
      <c r="A16" s="6" t="s">
        <v>38</v>
      </c>
      <c r="B16">
        <v>2</v>
      </c>
    </row>
    <row r="17" spans="1:2">
      <c r="A17" s="6" t="s">
        <v>33</v>
      </c>
      <c r="B17">
        <v>5</v>
      </c>
    </row>
    <row r="18" spans="1:2">
      <c r="A18" s="6" t="s">
        <v>31</v>
      </c>
      <c r="B18">
        <v>1</v>
      </c>
    </row>
    <row r="21" spans="1:2">
      <c r="A21" s="5" t="s">
        <v>70</v>
      </c>
      <c r="B21" t="s">
        <v>72</v>
      </c>
    </row>
    <row r="22" spans="1:2">
      <c r="A22" s="6" t="s">
        <v>28</v>
      </c>
      <c r="B22">
        <v>8</v>
      </c>
    </row>
    <row r="23" spans="1:2">
      <c r="A23" s="6" t="s">
        <v>53</v>
      </c>
      <c r="B23">
        <v>2</v>
      </c>
    </row>
    <row r="26" spans="1:2">
      <c r="A26" s="5" t="s">
        <v>70</v>
      </c>
      <c r="B26" t="s">
        <v>72</v>
      </c>
    </row>
    <row r="27" spans="1:2">
      <c r="A27" s="6" t="s">
        <v>37</v>
      </c>
      <c r="B27">
        <v>1</v>
      </c>
    </row>
    <row r="28" spans="1:2">
      <c r="A28" s="6" t="s">
        <v>45</v>
      </c>
      <c r="B28">
        <v>2</v>
      </c>
    </row>
    <row r="29" spans="1:2">
      <c r="A29" s="6" t="s">
        <v>30</v>
      </c>
      <c r="B29">
        <v>2</v>
      </c>
    </row>
    <row r="30" spans="1:2">
      <c r="A30" s="6" t="s">
        <v>42</v>
      </c>
      <c r="B30">
        <v>2</v>
      </c>
    </row>
    <row r="31" spans="1:2">
      <c r="A31" s="6" t="s">
        <v>55</v>
      </c>
      <c r="B31">
        <v>3</v>
      </c>
    </row>
    <row r="38" spans="1:3">
      <c r="A38" s="5" t="s">
        <v>72</v>
      </c>
      <c r="B38" s="5" t="s">
        <v>76</v>
      </c>
    </row>
    <row r="39" spans="1:3">
      <c r="A39" s="5" t="s">
        <v>70</v>
      </c>
      <c r="B39" t="s">
        <v>40</v>
      </c>
      <c r="C39" t="s">
        <v>27</v>
      </c>
    </row>
    <row r="40" spans="1:3">
      <c r="A40" s="6" t="s">
        <v>37</v>
      </c>
      <c r="C40">
        <v>1</v>
      </c>
    </row>
    <row r="41" spans="1:3">
      <c r="A41" s="6" t="s">
        <v>45</v>
      </c>
      <c r="B41">
        <v>1</v>
      </c>
      <c r="C41">
        <v>1</v>
      </c>
    </row>
    <row r="42" spans="1:3">
      <c r="A42" s="6" t="s">
        <v>30</v>
      </c>
      <c r="C42">
        <v>2</v>
      </c>
    </row>
    <row r="43" spans="1:3">
      <c r="A43" s="6" t="s">
        <v>42</v>
      </c>
      <c r="B43">
        <v>2</v>
      </c>
    </row>
    <row r="44" spans="1:3">
      <c r="A44" s="6" t="s">
        <v>55</v>
      </c>
      <c r="C44">
        <v>3</v>
      </c>
    </row>
    <row r="45" spans="1:3">
      <c r="A45" s="5" t="s">
        <v>70</v>
      </c>
      <c r="B45" t="s">
        <v>86</v>
      </c>
    </row>
    <row r="46" spans="1:3">
      <c r="A46" s="6" t="s">
        <v>28</v>
      </c>
      <c r="B46">
        <v>3.5</v>
      </c>
    </row>
    <row r="47" spans="1:3">
      <c r="A47" s="6" t="s">
        <v>53</v>
      </c>
      <c r="B47">
        <v>3.5</v>
      </c>
    </row>
    <row r="48" spans="1:3">
      <c r="A48" s="6" t="s">
        <v>71</v>
      </c>
      <c r="B48">
        <v>3.5</v>
      </c>
    </row>
    <row r="51" spans="1:5">
      <c r="A51" s="5" t="s">
        <v>72</v>
      </c>
      <c r="B51" s="5" t="s">
        <v>76</v>
      </c>
    </row>
    <row r="52" spans="1:5">
      <c r="A52" s="5" t="s">
        <v>70</v>
      </c>
      <c r="B52" t="s">
        <v>56</v>
      </c>
      <c r="C52" t="s">
        <v>38</v>
      </c>
      <c r="D52" t="s">
        <v>33</v>
      </c>
      <c r="E52" t="s">
        <v>31</v>
      </c>
    </row>
    <row r="53" spans="1:5">
      <c r="A53" s="6">
        <v>2</v>
      </c>
      <c r="C53">
        <v>1</v>
      </c>
      <c r="D53">
        <v>1</v>
      </c>
    </row>
    <row r="54" spans="1:5">
      <c r="A54" s="6">
        <v>3</v>
      </c>
      <c r="B54">
        <v>1</v>
      </c>
      <c r="D54">
        <v>2</v>
      </c>
      <c r="E54">
        <v>1</v>
      </c>
    </row>
    <row r="55" spans="1:5">
      <c r="A55" s="6">
        <v>4</v>
      </c>
      <c r="C55">
        <v>1</v>
      </c>
    </row>
    <row r="56" spans="1:5">
      <c r="A56" s="6">
        <v>5</v>
      </c>
      <c r="B56">
        <v>1</v>
      </c>
      <c r="D56">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BD7F-4682-40FD-BE2C-FD4269FE2B53}">
  <dimension ref="A1"/>
  <sheetViews>
    <sheetView showGridLines="0" topLeftCell="A12" zoomScale="98" zoomScaleNormal="98" workbookViewId="0">
      <selection activeCell="A7" sqref="A7"/>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4A5F-E898-4FE0-989C-6F5AB2C72B1A}">
  <dimension ref="A1:AZ13"/>
  <sheetViews>
    <sheetView workbookViewId="0">
      <selection activeCell="B13" sqref="B13"/>
    </sheetView>
  </sheetViews>
  <sheetFormatPr defaultRowHeight="14.5"/>
  <cols>
    <col min="1" max="1" width="14.54296875" bestFit="1" customWidth="1"/>
    <col min="2" max="2" width="33.54296875" bestFit="1" customWidth="1"/>
  </cols>
  <sheetData>
    <row r="1" spans="1:52" ht="18.5">
      <c r="A1" s="16" t="s">
        <v>78</v>
      </c>
    </row>
    <row r="2" spans="1:52">
      <c r="A2" t="s">
        <v>79</v>
      </c>
      <c r="B2" t="s">
        <v>60</v>
      </c>
    </row>
    <row r="3" spans="1:52">
      <c r="A3" t="s">
        <v>77</v>
      </c>
      <c r="B3" t="str">
        <f>INDEX(Table4[Age], MATCH(B2, Table4[Name], 0))</f>
        <v>18–25</v>
      </c>
    </row>
    <row r="6" spans="1:52">
      <c r="A6" t="s">
        <v>79</v>
      </c>
      <c r="B6" t="s">
        <v>47</v>
      </c>
    </row>
    <row r="7" spans="1:52">
      <c r="A7" t="s">
        <v>80</v>
      </c>
      <c r="B7" t="str">
        <f>INDEX(Table4[Comment], MATCH(B6, Table4[Name], 0))</f>
        <v>It’s been okay, not the best but it’s ikay</v>
      </c>
    </row>
    <row r="8" spans="1:52" ht="15" thickBot="1"/>
    <row r="9" spans="1:52" ht="15" thickBot="1">
      <c r="AV9" s="14"/>
      <c r="AW9" s="14"/>
    </row>
    <row r="10" spans="1:52" ht="15" thickBot="1">
      <c r="AV10" s="14"/>
      <c r="AW10" s="15"/>
    </row>
    <row r="11" spans="1:52" ht="19" thickBot="1">
      <c r="A11" s="16" t="s">
        <v>81</v>
      </c>
      <c r="AE11" s="14"/>
      <c r="AU11" s="14"/>
      <c r="AV11" s="14"/>
      <c r="AW11" s="14"/>
    </row>
    <row r="12" spans="1:52" ht="15" thickBot="1">
      <c r="A12" t="s">
        <v>83</v>
      </c>
      <c r="B12" t="s">
        <v>84</v>
      </c>
      <c r="AY12" s="14"/>
      <c r="AZ12" s="14"/>
    </row>
    <row r="13" spans="1:52">
      <c r="A13" t="s">
        <v>82</v>
      </c>
      <c r="B13" t="str">
        <f>_xlfn.XLOOKUP(B12, Table4[Most Used  Platform], Table4[Purpose], "Not Found")</f>
        <v>Entertainment</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46D58A92-1F2B-4E17-99F0-3B7D0076F263}">
  <ds:schemaRefs/>
</ds:datastoreItem>
</file>

<file path=customXml/itemProps2.xml><?xml version="1.0" encoding="utf-8"?>
<ds:datastoreItem xmlns:ds="http://schemas.openxmlformats.org/officeDocument/2006/customXml" ds:itemID="{90F4A454-E6FE-4004-8184-1B88244950A4}">
  <ds:schemaRefs/>
</ds:datastoreItem>
</file>

<file path=customXml/itemProps3.xml><?xml version="1.0" encoding="utf-8"?>
<ds:datastoreItem xmlns:ds="http://schemas.openxmlformats.org/officeDocument/2006/customXml" ds:itemID="{469297AD-D7CF-4F7A-8154-55F225B7DBFC}">
  <ds:schemaRefs/>
</ds:datastoreItem>
</file>

<file path=customXml/itemProps4.xml><?xml version="1.0" encoding="utf-8"?>
<ds:datastoreItem xmlns:ds="http://schemas.openxmlformats.org/officeDocument/2006/customXml" ds:itemID="{94C22296-7609-4626-8751-C974ABD993B5}">
  <ds:schemaRefs/>
</ds:datastoreItem>
</file>

<file path=customXml/itemProps5.xml><?xml version="1.0" encoding="utf-8"?>
<ds:datastoreItem xmlns:ds="http://schemas.openxmlformats.org/officeDocument/2006/customXml" ds:itemID="{C07C0A94-650B-4D99-A029-BBE60C1EEB90}">
  <ds:schemaRefs/>
</ds:datastoreItem>
</file>

<file path=customXml/itemProps6.xml><?xml version="1.0" encoding="utf-8"?>
<ds:datastoreItem xmlns:ds="http://schemas.openxmlformats.org/officeDocument/2006/customXml" ds:itemID="{E1119638-9B70-4DE3-9EC5-2E6D02DA4806}">
  <ds:schemaRefs/>
</ds:datastoreItem>
</file>

<file path=customXml/itemProps7.xml><?xml version="1.0" encoding="utf-8"?>
<ds:datastoreItem xmlns:ds="http://schemas.openxmlformats.org/officeDocument/2006/customXml" ds:itemID="{DC450F8A-C608-4F22-B209-9E2E7145A5F7}">
  <ds:schemaRefs/>
</ds:datastoreItem>
</file>

<file path=customXml/itemProps8.xml><?xml version="1.0" encoding="utf-8"?>
<ds:datastoreItem xmlns:ds="http://schemas.openxmlformats.org/officeDocument/2006/customXml" ds:itemID="{108B4EFE-4350-4431-B40D-53759262A6E0}">
  <ds:schemaRefs/>
</ds:datastoreItem>
</file>

<file path=customXml/itemProps9.xml><?xml version="1.0" encoding="utf-8"?>
<ds:datastoreItem xmlns:ds="http://schemas.openxmlformats.org/officeDocument/2006/customXml" ds:itemID="{B0180962-B757-4DE5-9485-20181F983254}">
  <ds:schemaRefs/>
</ds:datastoreItem>
</file>

<file path=customXml/itemProps10.xml><?xml version="1.0" encoding="utf-8"?>
<ds:datastoreItem xmlns:ds="http://schemas.openxmlformats.org/officeDocument/2006/customXml" ds:itemID="{1E11FCDD-B3C8-4F24-B009-1E91C1592938}">
  <ds:schemaRefs/>
</ds:datastoreItem>
</file>

<file path=customXml/itemProps11.xml><?xml version="1.0" encoding="utf-8"?>
<ds:datastoreItem xmlns:ds="http://schemas.openxmlformats.org/officeDocument/2006/customXml" ds:itemID="{EFECA81F-B253-4A10-9907-79548B6C4F5F}">
  <ds:schemaRefs/>
</ds:datastoreItem>
</file>

<file path=customXml/itemProps12.xml><?xml version="1.0" encoding="utf-8"?>
<ds:datastoreItem xmlns:ds="http://schemas.openxmlformats.org/officeDocument/2006/customXml" ds:itemID="{FA157E3E-794D-4CCF-9BBA-DB63613B0F2C}">
  <ds:schemaRefs/>
</ds:datastoreItem>
</file>

<file path=customXml/itemProps13.xml><?xml version="1.0" encoding="utf-8"?>
<ds:datastoreItem xmlns:ds="http://schemas.openxmlformats.org/officeDocument/2006/customXml" ds:itemID="{E5E0F5E5-B5E7-4A6F-AB07-3B97DF61E65C}">
  <ds:schemaRefs/>
</ds:datastoreItem>
</file>

<file path=customXml/itemProps14.xml><?xml version="1.0" encoding="utf-8"?>
<ds:datastoreItem xmlns:ds="http://schemas.openxmlformats.org/officeDocument/2006/customXml" ds:itemID="{38FCB615-E1AE-4AF4-B5AA-87F9E20C6475}">
  <ds:schemaRefs/>
</ds:datastoreItem>
</file>

<file path=customXml/itemProps15.xml><?xml version="1.0" encoding="utf-8"?>
<ds:datastoreItem xmlns:ds="http://schemas.openxmlformats.org/officeDocument/2006/customXml" ds:itemID="{AE401872-E4AA-481C-B4CC-75445D036539}">
  <ds:schemaRefs/>
</ds:datastoreItem>
</file>

<file path=customXml/itemProps16.xml><?xml version="1.0" encoding="utf-8"?>
<ds:datastoreItem xmlns:ds="http://schemas.openxmlformats.org/officeDocument/2006/customXml" ds:itemID="{2BA7F387-D11F-4BEA-997D-6B1384D1D9E5}">
  <ds:schemaRefs>
    <ds:schemaRef ds:uri="http://schemas.microsoft.com/DataMashup"/>
  </ds:schemaRefs>
</ds:datastoreItem>
</file>

<file path=customXml/itemProps17.xml><?xml version="1.0" encoding="utf-8"?>
<ds:datastoreItem xmlns:ds="http://schemas.openxmlformats.org/officeDocument/2006/customXml" ds:itemID="{62BF1766-7A75-479E-9D99-1F2F3E6D9B76}">
  <ds:schemaRefs/>
</ds:datastoreItem>
</file>

<file path=customXml/itemProps18.xml><?xml version="1.0" encoding="utf-8"?>
<ds:datastoreItem xmlns:ds="http://schemas.openxmlformats.org/officeDocument/2006/customXml" ds:itemID="{A1379A5B-21F0-4F56-A568-D73BD35EA62B}">
  <ds:schemaRefs/>
</ds:datastoreItem>
</file>

<file path=customXml/itemProps19.xml><?xml version="1.0" encoding="utf-8"?>
<ds:datastoreItem xmlns:ds="http://schemas.openxmlformats.org/officeDocument/2006/customXml" ds:itemID="{4E411E5D-AA95-44CF-9233-7867455FD363}">
  <ds:schemaRefs/>
</ds:datastoreItem>
</file>

<file path=customXml/itemProps20.xml><?xml version="1.0" encoding="utf-8"?>
<ds:datastoreItem xmlns:ds="http://schemas.openxmlformats.org/officeDocument/2006/customXml" ds:itemID="{DB5E4CB7-2F98-472D-84CA-31D9049A9366}">
  <ds:schemaRefs/>
</ds:datastoreItem>
</file>

<file path=customXml/itemProps21.xml><?xml version="1.0" encoding="utf-8"?>
<ds:datastoreItem xmlns:ds="http://schemas.openxmlformats.org/officeDocument/2006/customXml" ds:itemID="{7D3585BF-563E-467E-918C-08FDD58F20D5}">
  <ds:schemaRefs/>
</ds:datastoreItem>
</file>

<file path=customXml/itemProps22.xml><?xml version="1.0" encoding="utf-8"?>
<ds:datastoreItem xmlns:ds="http://schemas.openxmlformats.org/officeDocument/2006/customXml" ds:itemID="{AD93BD03-F62C-4545-A632-66C09DF19725}">
  <ds:schemaRefs/>
</ds:datastoreItem>
</file>

<file path=customXml/itemProps23.xml><?xml version="1.0" encoding="utf-8"?>
<ds:datastoreItem xmlns:ds="http://schemas.openxmlformats.org/officeDocument/2006/customXml" ds:itemID="{779925CA-1CBA-4D89-9EB9-51D355B92510}">
  <ds:schemaRefs/>
</ds:datastoreItem>
</file>

<file path=customXml/itemProps24.xml><?xml version="1.0" encoding="utf-8"?>
<ds:datastoreItem xmlns:ds="http://schemas.openxmlformats.org/officeDocument/2006/customXml" ds:itemID="{5DB2C22A-382D-45FE-98BE-EC1DB467D787}">
  <ds:schemaRefs/>
</ds:datastoreItem>
</file>

<file path=customXml/itemProps25.xml><?xml version="1.0" encoding="utf-8"?>
<ds:datastoreItem xmlns:ds="http://schemas.openxmlformats.org/officeDocument/2006/customXml" ds:itemID="{AB181CBC-D29F-41A5-B535-7333E326898D}">
  <ds:schemaRefs/>
</ds:datastoreItem>
</file>

<file path=customXml/itemProps26.xml><?xml version="1.0" encoding="utf-8"?>
<ds:datastoreItem xmlns:ds="http://schemas.openxmlformats.org/officeDocument/2006/customXml" ds:itemID="{E5252E0F-9F20-4CBD-BC4A-8C0E58D05895}">
  <ds:schemaRefs/>
</ds:datastoreItem>
</file>

<file path=customXml/itemProps27.xml><?xml version="1.0" encoding="utf-8"?>
<ds:datastoreItem xmlns:ds="http://schemas.openxmlformats.org/officeDocument/2006/customXml" ds:itemID="{1989A5D0-AA46-4394-974B-FAA075CFC80A}">
  <ds:schemaRefs/>
</ds:datastoreItem>
</file>

<file path=customXml/itemProps28.xml><?xml version="1.0" encoding="utf-8"?>
<ds:datastoreItem xmlns:ds="http://schemas.openxmlformats.org/officeDocument/2006/customXml" ds:itemID="{EA097062-0DD3-4982-A4A4-76283F3589A1}">
  <ds:schemaRefs/>
</ds:datastoreItem>
</file>

<file path=customXml/itemProps29.xml><?xml version="1.0" encoding="utf-8"?>
<ds:datastoreItem xmlns:ds="http://schemas.openxmlformats.org/officeDocument/2006/customXml" ds:itemID="{9C9ACF10-88E1-4BB2-9F78-227603A0FCCC}">
  <ds:schemaRefs/>
</ds:datastoreItem>
</file>

<file path=customXml/itemProps30.xml><?xml version="1.0" encoding="utf-8"?>
<ds:datastoreItem xmlns:ds="http://schemas.openxmlformats.org/officeDocument/2006/customXml" ds:itemID="{EC41454C-801A-4391-BA3E-FA218C607FC7}">
  <ds:schemaRefs/>
</ds:datastoreItem>
</file>

<file path=customXml/itemProps31.xml><?xml version="1.0" encoding="utf-8"?>
<ds:datastoreItem xmlns:ds="http://schemas.openxmlformats.org/officeDocument/2006/customXml" ds:itemID="{FCA43EB8-DF25-4A5A-8CAF-9927F01EC60C}">
  <ds:schemaRefs/>
</ds:datastoreItem>
</file>

<file path=customXml/itemProps32.xml><?xml version="1.0" encoding="utf-8"?>
<ds:datastoreItem xmlns:ds="http://schemas.openxmlformats.org/officeDocument/2006/customXml" ds:itemID="{91BE3765-4261-47C6-9146-DDE80AEFD878}">
  <ds:schemaRefs/>
</ds:datastoreItem>
</file>

<file path=customXml/itemProps33.xml><?xml version="1.0" encoding="utf-8"?>
<ds:datastoreItem xmlns:ds="http://schemas.openxmlformats.org/officeDocument/2006/customXml" ds:itemID="{3F198CF5-E74B-4365-8D11-DE332DAAFD04}">
  <ds:schemaRefs/>
</ds:datastoreItem>
</file>

<file path=customXml/itemProps34.xml><?xml version="1.0" encoding="utf-8"?>
<ds:datastoreItem xmlns:ds="http://schemas.openxmlformats.org/officeDocument/2006/customXml" ds:itemID="{95D1B4C3-FD6F-4EFF-8B0E-5313D284956E}">
  <ds:schemaRefs/>
</ds:datastoreItem>
</file>

<file path=customXml/itemProps35.xml><?xml version="1.0" encoding="utf-8"?>
<ds:datastoreItem xmlns:ds="http://schemas.openxmlformats.org/officeDocument/2006/customXml" ds:itemID="{08EA113C-0C67-459F-987B-C8CAA2195C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SURVEY_DATAA</vt:lpstr>
      <vt:lpstr>Data_Validation</vt:lpstr>
      <vt:lpstr>Goal Seek, FV, PV</vt:lpstr>
      <vt:lpstr>Dashboard_Tables</vt:lpstr>
      <vt:lpstr>Main_Dashboard</vt:lpstr>
      <vt:lpstr>Lookup_Functions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Abdullahi Hassan Mashi</dc:creator>
  <cp:lastModifiedBy>Abdullahi Hassan Mashi</cp:lastModifiedBy>
  <dcterms:created xsi:type="dcterms:W3CDTF">2025-10-23T09:45:48Z</dcterms:created>
  <dcterms:modified xsi:type="dcterms:W3CDTF">2025-12-13T18:14:46Z</dcterms:modified>
</cp:coreProperties>
</file>